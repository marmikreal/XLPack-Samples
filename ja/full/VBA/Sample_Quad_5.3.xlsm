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cuments\XLPack\sample\Full\ja\VBA\"/>
    </mc:Choice>
  </mc:AlternateContent>
  <xr:revisionPtr revIDLastSave="0" documentId="13_ncr:1_{6208654D-A46B-444E-9EF8-0C4CC03E91E5}" xr6:coauthVersionLast="45" xr6:coauthVersionMax="45" xr10:uidLastSave="{00000000-0000-0000-0000-000000000000}"/>
  <bookViews>
    <workbookView xWindow="52" yWindow="113" windowWidth="19051" windowHeight="11325" xr2:uid="{00000000-000D-0000-FFFF-FFFF00000000}"/>
  </bookViews>
  <sheets>
    <sheet name="有限区間" sheetId="1" r:id="rId1"/>
    <sheet name="半無限区間" sheetId="2" r:id="rId2"/>
    <sheet name="無限区間" sheetId="4" r:id="rId3"/>
    <sheet name="Cauchy主値積分" sheetId="5" r:id="rId4"/>
    <sheet name="端点が特異点の積分" sheetId="6" r:id="rId5"/>
    <sheet name="振動型関数" sheetId="7" r:id="rId6"/>
    <sheet name="フーリエ積分" sheetId="8" r:id="rId7"/>
  </sheets>
  <functionGroups builtInGroupCount="19"/>
  <definedNames>
    <definedName name="_xlnm._FilterDatabase" localSheetId="6" hidden="1">フーリエ積分!$A$12:$B$14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7" i="8" l="1"/>
  <c r="E8" i="7"/>
  <c r="E7" i="7"/>
  <c r="B7" i="5"/>
  <c r="B7" i="4" l="1"/>
  <c r="B7" i="1" l="1"/>
  <c r="B7" i="2" l="1"/>
</calcChain>
</file>

<file path=xl/sharedStrings.xml><?xml version="1.0" encoding="utf-8"?>
<sst xmlns="http://schemas.openxmlformats.org/spreadsheetml/2006/main" count="145" uniqueCount="48">
  <si>
    <t xml:space="preserve">x = </t>
    <phoneticPr fontId="3"/>
  </si>
  <si>
    <t xml:space="preserve">f(x) = </t>
    <phoneticPr fontId="3"/>
  </si>
  <si>
    <t xml:space="preserve">Err = </t>
    <phoneticPr fontId="3"/>
  </si>
  <si>
    <t>積分関数の定義</t>
    <rPh sb="0" eb="2">
      <t>セキブン</t>
    </rPh>
    <rPh sb="2" eb="4">
      <t>カンスウ</t>
    </rPh>
    <rPh sb="5" eb="7">
      <t>テイギ</t>
    </rPh>
    <phoneticPr fontId="3"/>
  </si>
  <si>
    <t>数値積分 (半無限区間)</t>
    <rPh sb="0" eb="2">
      <t>スウチ</t>
    </rPh>
    <rPh sb="2" eb="4">
      <t>セキブン</t>
    </rPh>
    <rPh sb="6" eb="7">
      <t>ハン</t>
    </rPh>
    <rPh sb="7" eb="9">
      <t>ムゲン</t>
    </rPh>
    <rPh sb="9" eb="11">
      <t>クカン</t>
    </rPh>
    <phoneticPr fontId="3"/>
  </si>
  <si>
    <t>数値積分 (有限区間)</t>
    <rPh sb="0" eb="2">
      <t>スウチ</t>
    </rPh>
    <rPh sb="2" eb="4">
      <t>セキブン</t>
    </rPh>
    <rPh sb="6" eb="8">
      <t>ユウゲン</t>
    </rPh>
    <rPh sb="8" eb="10">
      <t>クカン</t>
    </rPh>
    <phoneticPr fontId="3"/>
  </si>
  <si>
    <t>例. f(x) = 1/(1 + x^2)</t>
    <rPh sb="0" eb="1">
      <t>レイ</t>
    </rPh>
    <phoneticPr fontId="3"/>
  </si>
  <si>
    <t>A</t>
    <phoneticPr fontId="3"/>
  </si>
  <si>
    <t>B</t>
    <phoneticPr fontId="3"/>
  </si>
  <si>
    <t>推定誤差</t>
    <rPh sb="0" eb="2">
      <t>スイテイ</t>
    </rPh>
    <rPh sb="2" eb="4">
      <t>ゴサ</t>
    </rPh>
    <phoneticPr fontId="3"/>
  </si>
  <si>
    <t>B</t>
    <phoneticPr fontId="3"/>
  </si>
  <si>
    <t>+inf</t>
  </si>
  <si>
    <t>積分値 [A, B]</t>
    <rPh sb="0" eb="2">
      <t>セキブン</t>
    </rPh>
    <rPh sb="2" eb="3">
      <t>アタイ</t>
    </rPh>
    <phoneticPr fontId="3"/>
  </si>
  <si>
    <t>関数評価回数</t>
    <rPh sb="0" eb="2">
      <t>カンスウ</t>
    </rPh>
    <rPh sb="2" eb="4">
      <t>ヒョウカ</t>
    </rPh>
    <rPh sb="4" eb="6">
      <t>カイスウ</t>
    </rPh>
    <phoneticPr fontId="3"/>
  </si>
  <si>
    <t>積分値 [A, +inf]</t>
    <rPh sb="0" eb="2">
      <t>セキブン</t>
    </rPh>
    <rPh sb="2" eb="3">
      <t>アタイ</t>
    </rPh>
    <phoneticPr fontId="3"/>
  </si>
  <si>
    <t>使用プログラム</t>
    <rPh sb="0" eb="2">
      <t>シヨウ</t>
    </rPh>
    <phoneticPr fontId="3"/>
  </si>
  <si>
    <t xml:space="preserve">Prog = </t>
    <phoneticPr fontId="3"/>
  </si>
  <si>
    <t>数値積分 (無限区間)</t>
    <rPh sb="0" eb="2">
      <t>スウチ</t>
    </rPh>
    <rPh sb="2" eb="4">
      <t>セキブン</t>
    </rPh>
    <rPh sb="6" eb="8">
      <t>ムゲン</t>
    </rPh>
    <rPh sb="8" eb="10">
      <t>クカン</t>
    </rPh>
    <phoneticPr fontId="3"/>
  </si>
  <si>
    <t>-inf</t>
    <phoneticPr fontId="3"/>
  </si>
  <si>
    <t>積分値 [-inf, +inf]</t>
    <rPh sb="0" eb="2">
      <t>セキブン</t>
    </rPh>
    <rPh sb="2" eb="3">
      <t>アタイ</t>
    </rPh>
    <phoneticPr fontId="3"/>
  </si>
  <si>
    <t>被積分関数:</t>
    <rPh sb="0" eb="1">
      <t>ヒ</t>
    </rPh>
    <rPh sb="1" eb="3">
      <t>セキブン</t>
    </rPh>
    <rPh sb="3" eb="5">
      <t>カンスウ</t>
    </rPh>
    <phoneticPr fontId="3"/>
  </si>
  <si>
    <t>f(x)/(x - c)</t>
    <phoneticPr fontId="3"/>
  </si>
  <si>
    <t xml:space="preserve">c = </t>
    <phoneticPr fontId="3"/>
  </si>
  <si>
    <t>例. f(x) = exp(x)/x</t>
    <rPh sb="0" eb="1">
      <t>レイ</t>
    </rPh>
    <phoneticPr fontId="3"/>
  </si>
  <si>
    <t>数値積分 (Cauchy主値積分)</t>
    <rPh sb="0" eb="2">
      <t>スウチ</t>
    </rPh>
    <rPh sb="2" eb="4">
      <t>セキブン</t>
    </rPh>
    <rPh sb="12" eb="14">
      <t>シュチ</t>
    </rPh>
    <rPh sb="14" eb="16">
      <t>セキブン</t>
    </rPh>
    <phoneticPr fontId="3"/>
  </si>
  <si>
    <t>数値積分 (端点が特異点の積分)</t>
    <rPh sb="0" eb="2">
      <t>スウチ</t>
    </rPh>
    <rPh sb="2" eb="4">
      <t>セキブン</t>
    </rPh>
    <rPh sb="6" eb="8">
      <t>タンテン</t>
    </rPh>
    <rPh sb="9" eb="12">
      <t>トクイテン</t>
    </rPh>
    <rPh sb="13" eb="15">
      <t>セキブン</t>
    </rPh>
    <phoneticPr fontId="3"/>
  </si>
  <si>
    <t xml:space="preserve">α = </t>
    <phoneticPr fontId="3"/>
  </si>
  <si>
    <t xml:space="preserve">β = </t>
    <phoneticPr fontId="3"/>
  </si>
  <si>
    <t xml:space="preserve">Integr = </t>
    <phoneticPr fontId="3"/>
  </si>
  <si>
    <t>例. f(x) = ln(x)</t>
    <rPh sb="0" eb="1">
      <t>レイ</t>
    </rPh>
    <phoneticPr fontId="3"/>
  </si>
  <si>
    <t>Integr=1: f(x)*(x - a)^α*(x - b)^β</t>
    <phoneticPr fontId="3"/>
  </si>
  <si>
    <t>Integr=2: f(x)*(x - a)^α*(x - b)^β*ln(x - a)</t>
    <phoneticPr fontId="3"/>
  </si>
  <si>
    <t>Integr=3: f(x)*(x - a)^α*(x - b)^β*ln(b - x)</t>
    <phoneticPr fontId="3"/>
  </si>
  <si>
    <t>Integr=4: f(x)*(x - a)^α*(x - b)^β*ln(x - a)*ln(b - x)</t>
    <phoneticPr fontId="3"/>
  </si>
  <si>
    <t>数値積分 (振動型関数)</t>
    <rPh sb="0" eb="2">
      <t>スウチ</t>
    </rPh>
    <rPh sb="2" eb="4">
      <t>セキブン</t>
    </rPh>
    <rPh sb="6" eb="8">
      <t>シンドウ</t>
    </rPh>
    <rPh sb="8" eb="9">
      <t>ガタ</t>
    </rPh>
    <rPh sb="9" eb="11">
      <t>カンスウ</t>
    </rPh>
    <phoneticPr fontId="3"/>
  </si>
  <si>
    <t>例. f(x) = sin(x)</t>
    <rPh sb="0" eb="1">
      <t>レイ</t>
    </rPh>
    <phoneticPr fontId="3"/>
  </si>
  <si>
    <t xml:space="preserve">ω = </t>
    <phoneticPr fontId="3"/>
  </si>
  <si>
    <t>Integr=1: f(x)*cos(ωx)</t>
    <phoneticPr fontId="3"/>
  </si>
  <si>
    <t>Integr=2: f(x)*sin(ωx)</t>
    <phoneticPr fontId="3"/>
  </si>
  <si>
    <t>例. f(x) = exp(-x^2)*cos(x)</t>
    <rPh sb="0" eb="1">
      <t>レイ</t>
    </rPh>
    <phoneticPr fontId="3"/>
  </si>
  <si>
    <t>Qag</t>
    <phoneticPr fontId="3"/>
  </si>
  <si>
    <t>Qagi</t>
    <phoneticPr fontId="3"/>
  </si>
  <si>
    <t xml:space="preserve">RevCom = </t>
    <phoneticPr fontId="3"/>
  </si>
  <si>
    <t>Qawc</t>
    <phoneticPr fontId="3"/>
  </si>
  <si>
    <t>Qaws</t>
    <phoneticPr fontId="3"/>
  </si>
  <si>
    <t>Qawo</t>
    <phoneticPr fontId="3"/>
  </si>
  <si>
    <t>Qawf</t>
    <phoneticPr fontId="3"/>
  </si>
  <si>
    <t>数値積分 (フーリエ積分)</t>
    <rPh sb="0" eb="2">
      <t>スウチ</t>
    </rPh>
    <rPh sb="2" eb="4">
      <t>セキブン</t>
    </rPh>
    <rPh sb="10" eb="12">
      <t>セキブン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</si>
</sst>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3" borderId="2" xfId="0" applyFill="1" applyBorder="1">
      <alignment vertical="center"/>
    </xf>
    <xf numFmtId="0" fontId="0" fillId="0" borderId="1" xfId="0" applyBorder="1" applyAlignment="1">
      <alignment horizontal="right" vertical="center"/>
    </xf>
    <xf numFmtId="0" fontId="0" fillId="0" borderId="1" xfId="0" applyBorder="1">
      <alignment vertical="center"/>
    </xf>
    <xf numFmtId="0" fontId="0" fillId="3" borderId="3" xfId="0" applyFill="1" applyBorder="1">
      <alignment vertical="center"/>
    </xf>
    <xf numFmtId="0" fontId="0" fillId="0" borderId="3" xfId="0" applyBorder="1">
      <alignment vertical="center"/>
    </xf>
    <xf numFmtId="0" fontId="0" fillId="3" borderId="1" xfId="0" applyFill="1" applyBorder="1">
      <alignment vertical="center"/>
    </xf>
    <xf numFmtId="11" fontId="0" fillId="3" borderId="1" xfId="0" applyNumberFormat="1" applyFill="1" applyBorder="1">
      <alignment vertical="center"/>
    </xf>
    <xf numFmtId="0" fontId="0" fillId="3" borderId="4" xfId="0" applyFill="1" applyBorder="1">
      <alignment vertical="center"/>
    </xf>
    <xf numFmtId="0" fontId="0" fillId="0" borderId="4" xfId="0" applyBorder="1">
      <alignment vertical="center"/>
    </xf>
    <xf numFmtId="0" fontId="0" fillId="0" borderId="2" xfId="0" applyBorder="1">
      <alignment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0" fontId="0" fillId="3" borderId="9" xfId="0" applyFill="1" applyBorder="1">
      <alignment vertical="center"/>
    </xf>
    <xf numFmtId="0" fontId="0" fillId="3" borderId="10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12" xfId="0" applyFill="1" applyBorder="1">
      <alignment vertical="center"/>
    </xf>
    <xf numFmtId="0" fontId="0" fillId="0" borderId="2" xfId="0" quotePrefix="1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right" vertical="center"/>
    </xf>
    <xf numFmtId="0" fontId="0" fillId="0" borderId="1" xfId="0" quotePrefix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161925</xdr:rowOff>
        </xdr:from>
        <xdr:to>
          <xdr:col>3</xdr:col>
          <xdr:colOff>1085850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171450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</xdr:colOff>
          <xdr:row>1</xdr:row>
          <xdr:rowOff>161925</xdr:rowOff>
        </xdr:from>
        <xdr:to>
          <xdr:col>3</xdr:col>
          <xdr:colOff>1095375</xdr:colOff>
          <xdr:row>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2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</xdr:colOff>
          <xdr:row>1</xdr:row>
          <xdr:rowOff>161925</xdr:rowOff>
        </xdr:from>
        <xdr:to>
          <xdr:col>3</xdr:col>
          <xdr:colOff>1095375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2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161925</xdr:rowOff>
        </xdr:from>
        <xdr:to>
          <xdr:col>3</xdr:col>
          <xdr:colOff>1085850</xdr:colOff>
          <xdr:row>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171450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161925</xdr:rowOff>
        </xdr:from>
        <xdr:to>
          <xdr:col>3</xdr:col>
          <xdr:colOff>1085850</xdr:colOff>
          <xdr:row>3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171450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161925</xdr:rowOff>
        </xdr:from>
        <xdr:to>
          <xdr:col>3</xdr:col>
          <xdr:colOff>1085850</xdr:colOff>
          <xdr:row>3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171450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161925</xdr:rowOff>
        </xdr:from>
        <xdr:to>
          <xdr:col>3</xdr:col>
          <xdr:colOff>1085850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171450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tabSelected="1" workbookViewId="0"/>
  </sheetViews>
  <sheetFormatPr defaultRowHeight="12.75" x14ac:dyDescent="0.25"/>
  <cols>
    <col min="1" max="1" width="13.3984375" customWidth="1"/>
    <col min="2" max="2" width="13.73046875" customWidth="1"/>
    <col min="3" max="3" width="11.265625" customWidth="1"/>
    <col min="4" max="5" width="14.3984375" customWidth="1"/>
    <col min="6" max="6" width="12.59765625" customWidth="1"/>
    <col min="7" max="8" width="14.3984375" customWidth="1"/>
  </cols>
  <sheetData>
    <row r="1" spans="1:8" x14ac:dyDescent="0.25">
      <c r="A1" s="1" t="s">
        <v>5</v>
      </c>
    </row>
    <row r="2" spans="1:8" x14ac:dyDescent="0.25">
      <c r="A2" s="1"/>
    </row>
    <row r="3" spans="1:8" x14ac:dyDescent="0.25">
      <c r="A3" s="2"/>
      <c r="F3" t="s">
        <v>6</v>
      </c>
    </row>
    <row r="5" spans="1:8" x14ac:dyDescent="0.25">
      <c r="A5" t="s">
        <v>3</v>
      </c>
      <c r="D5" t="s">
        <v>40</v>
      </c>
    </row>
    <row r="6" spans="1:8" x14ac:dyDescent="0.25">
      <c r="A6" s="6" t="s">
        <v>0</v>
      </c>
      <c r="B6" s="7">
        <v>1.4034059178159555</v>
      </c>
      <c r="D6" s="15" t="s">
        <v>7</v>
      </c>
      <c r="E6" s="16" t="s">
        <v>8</v>
      </c>
      <c r="F6" s="3" t="s">
        <v>13</v>
      </c>
      <c r="G6" s="3" t="s">
        <v>12</v>
      </c>
      <c r="H6" s="3" t="s">
        <v>9</v>
      </c>
    </row>
    <row r="7" spans="1:8" x14ac:dyDescent="0.25">
      <c r="A7" s="6" t="s">
        <v>1</v>
      </c>
      <c r="B7" s="10">
        <f>1/(1+B6^2)</f>
        <v>0.33675156714020754</v>
      </c>
      <c r="C7" s="4"/>
      <c r="D7" s="17">
        <v>0</v>
      </c>
      <c r="E7" s="18">
        <v>1</v>
      </c>
      <c r="F7" s="14">
        <v>45</v>
      </c>
      <c r="G7" s="14">
        <v>0.78539816339744839</v>
      </c>
      <c r="H7" s="14">
        <v>8.719671245020275E-15</v>
      </c>
    </row>
    <row r="8" spans="1:8" x14ac:dyDescent="0.25">
      <c r="A8" s="6" t="s">
        <v>2</v>
      </c>
      <c r="B8" s="11">
        <v>1E-10</v>
      </c>
      <c r="D8" s="19">
        <v>0</v>
      </c>
      <c r="E8" s="20">
        <v>2</v>
      </c>
      <c r="F8" s="9">
        <v>75</v>
      </c>
      <c r="G8" s="9">
        <v>1.1071487177940906</v>
      </c>
      <c r="H8" s="9">
        <v>1.2291820077786625E-14</v>
      </c>
    </row>
    <row r="9" spans="1:8" x14ac:dyDescent="0.25">
      <c r="D9" s="19">
        <v>0</v>
      </c>
      <c r="E9" s="20">
        <v>3</v>
      </c>
      <c r="F9" s="9">
        <v>75</v>
      </c>
      <c r="G9" s="9">
        <v>1.2490457723982544</v>
      </c>
      <c r="H9" s="9">
        <v>2.2924619172774786E-13</v>
      </c>
    </row>
    <row r="10" spans="1:8" x14ac:dyDescent="0.25">
      <c r="A10" s="26" t="s">
        <v>15</v>
      </c>
      <c r="D10" s="19">
        <v>0</v>
      </c>
      <c r="E10" s="20">
        <v>4</v>
      </c>
      <c r="F10" s="9">
        <v>75</v>
      </c>
      <c r="G10" s="9">
        <v>1.3258176636680326</v>
      </c>
      <c r="H10" s="9">
        <v>1.2911582553319398E-10</v>
      </c>
    </row>
    <row r="11" spans="1:8" x14ac:dyDescent="0.25">
      <c r="A11" s="6" t="s">
        <v>16</v>
      </c>
      <c r="B11" s="10">
        <v>7</v>
      </c>
      <c r="D11" s="21">
        <v>0</v>
      </c>
      <c r="E11" s="22">
        <v>5</v>
      </c>
      <c r="F11" s="13">
        <v>105</v>
      </c>
      <c r="G11" s="13">
        <v>1.3734007669450159</v>
      </c>
      <c r="H11" s="13">
        <v>3.6284495375547927E-13</v>
      </c>
    </row>
    <row r="12" spans="1:8" x14ac:dyDescent="0.25">
      <c r="A12" s="6" t="s">
        <v>42</v>
      </c>
      <c r="B12" s="10">
        <v>0</v>
      </c>
      <c r="D12" s="17">
        <v>0</v>
      </c>
      <c r="E12" s="18">
        <v>6</v>
      </c>
      <c r="F12" s="14">
        <v>105</v>
      </c>
      <c r="G12" s="14">
        <v>1.4056476493802699</v>
      </c>
      <c r="H12" s="14">
        <v>3.3255800070525266E-13</v>
      </c>
    </row>
    <row r="13" spans="1:8" x14ac:dyDescent="0.25">
      <c r="D13" s="19">
        <v>0</v>
      </c>
      <c r="E13" s="20">
        <v>7</v>
      </c>
      <c r="F13" s="9">
        <v>105</v>
      </c>
      <c r="G13" s="9">
        <v>1.4288992721907328</v>
      </c>
      <c r="H13" s="9">
        <v>1.1441705666110514E-11</v>
      </c>
    </row>
    <row r="14" spans="1:8" x14ac:dyDescent="0.25">
      <c r="D14" s="19"/>
      <c r="E14" s="20"/>
      <c r="F14" s="9"/>
      <c r="G14" s="9"/>
      <c r="H14" s="9"/>
    </row>
    <row r="15" spans="1:8" x14ac:dyDescent="0.25">
      <c r="D15" s="19"/>
      <c r="E15" s="20"/>
      <c r="F15" s="9"/>
      <c r="G15" s="9"/>
      <c r="H15" s="9"/>
    </row>
    <row r="16" spans="1:8" x14ac:dyDescent="0.25">
      <c r="D16" s="21"/>
      <c r="E16" s="22"/>
      <c r="F16" s="13"/>
      <c r="G16" s="13"/>
      <c r="H16" s="13"/>
    </row>
  </sheetData>
  <phoneticPr fontId="3"/>
  <dataValidations count="2">
    <dataValidation type="whole" allowBlank="1" showInputMessage="1" showErrorMessage="1" prompt="0: Qk15  1: Qk21  2: Qk31  3: Qk41_x000a_4: Qk51  5: Qk61  6: Qng  7: Qag_x000a_8: Qags  9: Defin" sqref="B11" xr:uid="{00000000-0002-0000-0000-000000000000}">
      <formula1>0</formula1>
      <formula2>9</formula2>
    </dataValidation>
    <dataValidation type="whole" allowBlank="1" showInputMessage="1" showErrorMessage="1" prompt="0: コールバック版_x000a_1: リバースコミュニケーション版" sqref="B12" xr:uid="{739588FE-2F0D-4D5F-8608-9CAF77ECC5F2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161925</xdr:rowOff>
                  </from>
                  <to>
                    <xdr:col>3</xdr:col>
                    <xdr:colOff>1085850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tart">
                <anchor moveWithCells="1" sizeWithCells="1">
                  <from>
                    <xdr:col>1</xdr:col>
                    <xdr:colOff>0</xdr:colOff>
                    <xdr:row>1</xdr:row>
                    <xdr:rowOff>171450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H16"/>
  <sheetViews>
    <sheetView workbookViewId="0"/>
  </sheetViews>
  <sheetFormatPr defaultRowHeight="12.75" x14ac:dyDescent="0.25"/>
  <cols>
    <col min="1" max="1" width="13.3984375" customWidth="1"/>
    <col min="2" max="2" width="13.73046875" customWidth="1"/>
    <col min="3" max="3" width="11.265625" customWidth="1"/>
    <col min="4" max="5" width="14.3984375" customWidth="1"/>
    <col min="6" max="6" width="12.59765625" customWidth="1"/>
    <col min="7" max="8" width="14.3984375" customWidth="1"/>
  </cols>
  <sheetData>
    <row r="1" spans="1:8" x14ac:dyDescent="0.25">
      <c r="A1" s="1" t="s">
        <v>4</v>
      </c>
    </row>
    <row r="3" spans="1:8" x14ac:dyDescent="0.25">
      <c r="A3" s="2"/>
      <c r="F3" t="s">
        <v>6</v>
      </c>
    </row>
    <row r="5" spans="1:8" x14ac:dyDescent="0.25">
      <c r="A5" t="s">
        <v>3</v>
      </c>
      <c r="D5" t="s">
        <v>41</v>
      </c>
    </row>
    <row r="6" spans="1:8" x14ac:dyDescent="0.25">
      <c r="A6" s="6" t="s">
        <v>0</v>
      </c>
      <c r="B6" s="7">
        <v>6.4939327642617179</v>
      </c>
      <c r="D6" s="3" t="s">
        <v>7</v>
      </c>
      <c r="E6" s="3" t="s">
        <v>10</v>
      </c>
      <c r="F6" s="3" t="s">
        <v>13</v>
      </c>
      <c r="G6" s="3" t="s">
        <v>14</v>
      </c>
      <c r="H6" s="3" t="s">
        <v>9</v>
      </c>
    </row>
    <row r="7" spans="1:8" x14ac:dyDescent="0.25">
      <c r="A7" s="6" t="s">
        <v>1</v>
      </c>
      <c r="B7" s="10">
        <f>1/(1+B6*B6)</f>
        <v>2.3163610530162037E-2</v>
      </c>
      <c r="C7" s="4"/>
      <c r="D7" s="5">
        <v>0</v>
      </c>
      <c r="E7" s="23" t="s">
        <v>11</v>
      </c>
      <c r="F7" s="14">
        <v>75</v>
      </c>
      <c r="G7" s="14">
        <v>1.5707963267948966</v>
      </c>
      <c r="H7" s="14">
        <v>1.2889829569499947E-10</v>
      </c>
    </row>
    <row r="8" spans="1:8" x14ac:dyDescent="0.25">
      <c r="A8" s="6" t="s">
        <v>2</v>
      </c>
      <c r="B8" s="11">
        <v>1E-10</v>
      </c>
      <c r="D8" s="8">
        <v>1</v>
      </c>
      <c r="E8" s="24" t="s">
        <v>11</v>
      </c>
      <c r="F8" s="9">
        <v>45</v>
      </c>
      <c r="G8" s="9">
        <v>0.78539816339744839</v>
      </c>
      <c r="H8" s="9">
        <v>8.719671245020275E-15</v>
      </c>
    </row>
    <row r="9" spans="1:8" x14ac:dyDescent="0.25">
      <c r="D9" s="8">
        <v>2</v>
      </c>
      <c r="E9" s="24" t="s">
        <v>11</v>
      </c>
      <c r="F9" s="9">
        <v>45</v>
      </c>
      <c r="G9" s="9">
        <v>0.46364760900080609</v>
      </c>
      <c r="H9" s="9">
        <v>5.147522508232726E-15</v>
      </c>
    </row>
    <row r="10" spans="1:8" x14ac:dyDescent="0.25">
      <c r="A10" s="26" t="s">
        <v>15</v>
      </c>
      <c r="D10" s="8">
        <v>3</v>
      </c>
      <c r="E10" s="24" t="s">
        <v>11</v>
      </c>
      <c r="F10" s="9">
        <v>45</v>
      </c>
      <c r="G10" s="9">
        <v>0.32175055439664213</v>
      </c>
      <c r="H10" s="9">
        <v>7.571310215012003E-12</v>
      </c>
    </row>
    <row r="11" spans="1:8" x14ac:dyDescent="0.25">
      <c r="A11" s="6" t="s">
        <v>16</v>
      </c>
      <c r="B11" s="10">
        <v>1</v>
      </c>
      <c r="D11" s="12">
        <v>4</v>
      </c>
      <c r="E11" s="25" t="s">
        <v>11</v>
      </c>
      <c r="F11" s="13">
        <v>75</v>
      </c>
      <c r="G11" s="13">
        <v>0.24497866312686414</v>
      </c>
      <c r="H11" s="13">
        <v>1.1276552063185909E-14</v>
      </c>
    </row>
    <row r="12" spans="1:8" x14ac:dyDescent="0.25">
      <c r="A12" s="6" t="s">
        <v>42</v>
      </c>
      <c r="B12" s="10">
        <v>0</v>
      </c>
      <c r="D12" s="5">
        <v>5</v>
      </c>
      <c r="E12" s="27" t="s">
        <v>11</v>
      </c>
      <c r="F12" s="14">
        <v>75</v>
      </c>
      <c r="G12" s="14">
        <v>0.19739555984988078</v>
      </c>
      <c r="H12" s="14">
        <v>8.6370927804060662E-13</v>
      </c>
    </row>
    <row r="13" spans="1:8" x14ac:dyDescent="0.25">
      <c r="D13" s="8"/>
      <c r="E13" s="24" t="s">
        <v>11</v>
      </c>
      <c r="F13" s="9"/>
      <c r="G13" s="9"/>
      <c r="H13" s="9"/>
    </row>
    <row r="14" spans="1:8" x14ac:dyDescent="0.25">
      <c r="D14" s="8"/>
      <c r="E14" s="24" t="s">
        <v>11</v>
      </c>
      <c r="F14" s="9"/>
      <c r="G14" s="9"/>
      <c r="H14" s="9"/>
    </row>
    <row r="15" spans="1:8" x14ac:dyDescent="0.25">
      <c r="D15" s="8"/>
      <c r="E15" s="24" t="s">
        <v>11</v>
      </c>
      <c r="F15" s="9"/>
      <c r="G15" s="9"/>
      <c r="H15" s="9"/>
    </row>
    <row r="16" spans="1:8" x14ac:dyDescent="0.25">
      <c r="D16" s="12"/>
      <c r="E16" s="25" t="s">
        <v>11</v>
      </c>
      <c r="F16" s="13"/>
      <c r="G16" s="13"/>
      <c r="H16" s="13"/>
    </row>
  </sheetData>
  <phoneticPr fontId="3"/>
  <dataValidations count="2">
    <dataValidation type="whole" allowBlank="1" showInputMessage="1" showErrorMessage="1" prompt="0: Qk15i  1: Qagi  2: Dehint" sqref="B11" xr:uid="{00000000-0002-0000-0100-000000000000}">
      <formula1>0</formula1>
      <formula2>2</formula2>
    </dataValidation>
    <dataValidation type="whole" allowBlank="1" showInputMessage="1" showErrorMessage="1" prompt="0: コールバック版_x000a_1: リバースコミュニケーション版" sqref="B12" xr:uid="{26B51DCA-487B-45B7-A3A7-DBBCCEF3A51C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_xludf.Clear">
                <anchor moveWithCells="1" sizeWithCells="1">
                  <from>
                    <xdr:col>2</xdr:col>
                    <xdr:colOff>857250</xdr:colOff>
                    <xdr:row>1</xdr:row>
                    <xdr:rowOff>161925</xdr:rowOff>
                  </from>
                  <to>
                    <xdr:col>3</xdr:col>
                    <xdr:colOff>1095375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tart2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H12"/>
  <sheetViews>
    <sheetView workbookViewId="0"/>
  </sheetViews>
  <sheetFormatPr defaultRowHeight="12.75" x14ac:dyDescent="0.25"/>
  <cols>
    <col min="1" max="1" width="13.3984375" customWidth="1"/>
    <col min="2" max="2" width="13.73046875" customWidth="1"/>
    <col min="3" max="3" width="11.265625" customWidth="1"/>
    <col min="4" max="5" width="14.3984375" customWidth="1"/>
    <col min="6" max="6" width="12.59765625" customWidth="1"/>
    <col min="7" max="8" width="14.3984375" customWidth="1"/>
  </cols>
  <sheetData>
    <row r="1" spans="1:8" x14ac:dyDescent="0.25">
      <c r="A1" s="1" t="s">
        <v>17</v>
      </c>
    </row>
    <row r="3" spans="1:8" x14ac:dyDescent="0.25">
      <c r="A3" s="2"/>
      <c r="F3" t="s">
        <v>6</v>
      </c>
    </row>
    <row r="5" spans="1:8" x14ac:dyDescent="0.25">
      <c r="A5" t="s">
        <v>3</v>
      </c>
      <c r="D5" t="s">
        <v>41</v>
      </c>
    </row>
    <row r="6" spans="1:8" x14ac:dyDescent="0.25">
      <c r="A6" s="6" t="s">
        <v>0</v>
      </c>
      <c r="B6" s="7">
        <v>-1.4939327642617182</v>
      </c>
      <c r="D6" s="3" t="s">
        <v>7</v>
      </c>
      <c r="E6" s="3" t="s">
        <v>8</v>
      </c>
      <c r="F6" s="3" t="s">
        <v>13</v>
      </c>
      <c r="G6" s="3" t="s">
        <v>19</v>
      </c>
      <c r="H6" s="3" t="s">
        <v>9</v>
      </c>
    </row>
    <row r="7" spans="1:8" x14ac:dyDescent="0.25">
      <c r="A7" s="6" t="s">
        <v>1</v>
      </c>
      <c r="B7" s="10">
        <f>1/(1+B6*B6)</f>
        <v>0.30942172721641859</v>
      </c>
      <c r="C7" s="4"/>
      <c r="D7" s="28" t="s">
        <v>18</v>
      </c>
      <c r="E7" s="28" t="s">
        <v>11</v>
      </c>
      <c r="F7" s="7">
        <v>150</v>
      </c>
      <c r="G7" s="7">
        <v>3.1415926535897931</v>
      </c>
      <c r="H7" s="7">
        <v>2.5779659138999894E-10</v>
      </c>
    </row>
    <row r="8" spans="1:8" x14ac:dyDescent="0.25">
      <c r="A8" s="6" t="s">
        <v>2</v>
      </c>
      <c r="B8" s="11">
        <v>1E-10</v>
      </c>
    </row>
    <row r="10" spans="1:8" x14ac:dyDescent="0.25">
      <c r="A10" s="26" t="s">
        <v>15</v>
      </c>
    </row>
    <row r="11" spans="1:8" x14ac:dyDescent="0.25">
      <c r="A11" s="6" t="s">
        <v>16</v>
      </c>
      <c r="B11" s="10">
        <v>0</v>
      </c>
    </row>
    <row r="12" spans="1:8" x14ac:dyDescent="0.25">
      <c r="A12" s="6" t="s">
        <v>42</v>
      </c>
      <c r="B12" s="10">
        <v>0</v>
      </c>
    </row>
  </sheetData>
  <phoneticPr fontId="3"/>
  <dataValidations count="2">
    <dataValidation type="whole" allowBlank="1" showInputMessage="1" showErrorMessage="1" prompt="0: Qagi  1: Deiint" sqref="B11" xr:uid="{00000000-0002-0000-0200-000000000000}">
      <formula1>0</formula1>
      <formula2>1</formula2>
    </dataValidation>
    <dataValidation type="whole" allowBlank="1" showInputMessage="1" showErrorMessage="1" prompt="0: コールバック版_x000a_1: リバースコミュニケーション版" sqref="B12" xr:uid="{2614AAEB-3063-470D-97A9-F6331E8FB33D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_xludf.Clear">
                <anchor moveWithCells="1" sizeWithCells="1">
                  <from>
                    <xdr:col>2</xdr:col>
                    <xdr:colOff>857250</xdr:colOff>
                    <xdr:row>1</xdr:row>
                    <xdr:rowOff>161925</xdr:rowOff>
                  </from>
                  <to>
                    <xdr:col>3</xdr:col>
                    <xdr:colOff>1095375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tart3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H16"/>
  <sheetViews>
    <sheetView workbookViewId="0"/>
  </sheetViews>
  <sheetFormatPr defaultRowHeight="12.75" x14ac:dyDescent="0.25"/>
  <cols>
    <col min="1" max="1" width="13.3984375" customWidth="1"/>
    <col min="2" max="2" width="13.73046875" customWidth="1"/>
    <col min="3" max="3" width="11.265625" customWidth="1"/>
    <col min="4" max="5" width="14.3984375" customWidth="1"/>
    <col min="6" max="6" width="12.59765625" customWidth="1"/>
    <col min="7" max="8" width="14.3984375" customWidth="1"/>
  </cols>
  <sheetData>
    <row r="1" spans="1:8" x14ac:dyDescent="0.25">
      <c r="A1" s="1" t="s">
        <v>24</v>
      </c>
    </row>
    <row r="2" spans="1:8" x14ac:dyDescent="0.25">
      <c r="A2" s="1"/>
    </row>
    <row r="3" spans="1:8" x14ac:dyDescent="0.25">
      <c r="A3" s="2"/>
      <c r="F3" t="s">
        <v>23</v>
      </c>
    </row>
    <row r="5" spans="1:8" x14ac:dyDescent="0.25">
      <c r="A5" t="s">
        <v>3</v>
      </c>
      <c r="D5" t="s">
        <v>43</v>
      </c>
    </row>
    <row r="6" spans="1:8" x14ac:dyDescent="0.25">
      <c r="A6" s="6" t="s">
        <v>0</v>
      </c>
      <c r="B6" s="7">
        <v>-0.1305261922200516</v>
      </c>
      <c r="D6" s="15" t="s">
        <v>7</v>
      </c>
      <c r="E6" s="16" t="s">
        <v>8</v>
      </c>
      <c r="F6" s="3" t="s">
        <v>13</v>
      </c>
      <c r="G6" s="3" t="s">
        <v>12</v>
      </c>
      <c r="H6" s="3" t="s">
        <v>9</v>
      </c>
    </row>
    <row r="7" spans="1:8" x14ac:dyDescent="0.25">
      <c r="A7" s="6" t="s">
        <v>1</v>
      </c>
      <c r="B7" s="10">
        <f>EXP(B6)</f>
        <v>0.87763350547779329</v>
      </c>
      <c r="C7" s="4"/>
      <c r="D7" s="17">
        <v>-1</v>
      </c>
      <c r="E7" s="18">
        <v>1</v>
      </c>
      <c r="F7" s="14">
        <v>25</v>
      </c>
      <c r="G7" s="14">
        <v>2.1145017507514572</v>
      </c>
      <c r="H7" s="14">
        <v>2.5046631435543532E-13</v>
      </c>
    </row>
    <row r="8" spans="1:8" x14ac:dyDescent="0.25">
      <c r="A8" s="6" t="s">
        <v>2</v>
      </c>
      <c r="B8" s="11">
        <v>1E-10</v>
      </c>
      <c r="D8" s="19"/>
      <c r="E8" s="20"/>
      <c r="F8" s="9"/>
      <c r="G8" s="9"/>
      <c r="H8" s="9"/>
    </row>
    <row r="9" spans="1:8" x14ac:dyDescent="0.25">
      <c r="A9" s="6" t="s">
        <v>22</v>
      </c>
      <c r="B9" s="10">
        <v>0</v>
      </c>
      <c r="D9" s="19"/>
      <c r="E9" s="20"/>
      <c r="F9" s="9"/>
      <c r="G9" s="9"/>
      <c r="H9" s="9"/>
    </row>
    <row r="10" spans="1:8" x14ac:dyDescent="0.25">
      <c r="D10" s="19"/>
      <c r="E10" s="20"/>
      <c r="F10" s="9"/>
      <c r="G10" s="9"/>
      <c r="H10" s="9"/>
    </row>
    <row r="11" spans="1:8" x14ac:dyDescent="0.25">
      <c r="A11" s="26" t="s">
        <v>15</v>
      </c>
      <c r="D11" s="21"/>
      <c r="E11" s="22"/>
      <c r="F11" s="13"/>
      <c r="G11" s="13"/>
      <c r="H11" s="13"/>
    </row>
    <row r="12" spans="1:8" x14ac:dyDescent="0.25">
      <c r="A12" s="6" t="s">
        <v>42</v>
      </c>
      <c r="B12" s="10">
        <v>0</v>
      </c>
      <c r="D12" s="17"/>
      <c r="E12" s="18"/>
      <c r="F12" s="14"/>
      <c r="G12" s="14"/>
      <c r="H12" s="14"/>
    </row>
    <row r="13" spans="1:8" x14ac:dyDescent="0.25">
      <c r="D13" s="19"/>
      <c r="E13" s="20"/>
      <c r="F13" s="9"/>
      <c r="G13" s="9"/>
      <c r="H13" s="9"/>
    </row>
    <row r="14" spans="1:8" x14ac:dyDescent="0.25">
      <c r="A14" s="26" t="s">
        <v>20</v>
      </c>
      <c r="B14" t="s">
        <v>21</v>
      </c>
      <c r="D14" s="19"/>
      <c r="E14" s="20"/>
      <c r="F14" s="9"/>
      <c r="G14" s="9"/>
      <c r="H14" s="9"/>
    </row>
    <row r="15" spans="1:8" x14ac:dyDescent="0.25">
      <c r="D15" s="19"/>
      <c r="E15" s="20"/>
      <c r="F15" s="9"/>
      <c r="G15" s="9"/>
      <c r="H15" s="9"/>
    </row>
    <row r="16" spans="1:8" x14ac:dyDescent="0.25">
      <c r="D16" s="21"/>
      <c r="E16" s="22"/>
      <c r="F16" s="13"/>
      <c r="G16" s="13"/>
      <c r="H16" s="13"/>
    </row>
  </sheetData>
  <phoneticPr fontId="3"/>
  <dataValidations count="1">
    <dataValidation type="whole" allowBlank="1" showInputMessage="1" showErrorMessage="1" prompt="0: コールバック版_x000a_1: リバースコミュニケーション版" sqref="B12" xr:uid="{C4D50892-F29F-40FA-AE4A-CC856968B916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161925</xdr:rowOff>
                  </from>
                  <to>
                    <xdr:col>3</xdr:col>
                    <xdr:colOff>1085850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tart4">
                <anchor moveWithCells="1" sizeWithCells="1">
                  <from>
                    <xdr:col>1</xdr:col>
                    <xdr:colOff>0</xdr:colOff>
                    <xdr:row>1</xdr:row>
                    <xdr:rowOff>171450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H20"/>
  <sheetViews>
    <sheetView workbookViewId="0"/>
  </sheetViews>
  <sheetFormatPr defaultRowHeight="12.75" x14ac:dyDescent="0.25"/>
  <cols>
    <col min="1" max="1" width="13.3984375" customWidth="1"/>
    <col min="2" max="2" width="13.73046875" customWidth="1"/>
    <col min="3" max="3" width="11.265625" customWidth="1"/>
    <col min="4" max="5" width="14.3984375" customWidth="1"/>
    <col min="6" max="6" width="12.59765625" customWidth="1"/>
    <col min="7" max="8" width="14.3984375" customWidth="1"/>
  </cols>
  <sheetData>
    <row r="1" spans="1:8" x14ac:dyDescent="0.25">
      <c r="A1" s="1" t="s">
        <v>25</v>
      </c>
    </row>
    <row r="2" spans="1:8" x14ac:dyDescent="0.25">
      <c r="A2" s="1"/>
    </row>
    <row r="3" spans="1:8" x14ac:dyDescent="0.25">
      <c r="A3" s="2"/>
      <c r="F3" t="s">
        <v>29</v>
      </c>
    </row>
    <row r="5" spans="1:8" x14ac:dyDescent="0.25">
      <c r="A5" t="s">
        <v>3</v>
      </c>
      <c r="D5" t="s">
        <v>44</v>
      </c>
    </row>
    <row r="6" spans="1:8" x14ac:dyDescent="0.25">
      <c r="A6" s="6" t="s">
        <v>0</v>
      </c>
      <c r="B6" s="7">
        <v>8.0194623875197468</v>
      </c>
      <c r="D6" s="15" t="s">
        <v>7</v>
      </c>
      <c r="E6" s="16" t="s">
        <v>8</v>
      </c>
      <c r="F6" s="3" t="s">
        <v>13</v>
      </c>
      <c r="G6" s="3" t="s">
        <v>12</v>
      </c>
      <c r="H6" s="3" t="s">
        <v>9</v>
      </c>
    </row>
    <row r="7" spans="1:8" x14ac:dyDescent="0.25">
      <c r="A7" s="6" t="s">
        <v>1</v>
      </c>
      <c r="B7" s="10">
        <v>1</v>
      </c>
      <c r="C7" s="4"/>
      <c r="D7" s="17">
        <v>0</v>
      </c>
      <c r="E7" s="18">
        <v>1</v>
      </c>
      <c r="F7" s="14">
        <v>40</v>
      </c>
      <c r="G7" s="14">
        <v>-1</v>
      </c>
      <c r="H7" s="14">
        <v>9.8392692355459047E-15</v>
      </c>
    </row>
    <row r="8" spans="1:8" x14ac:dyDescent="0.25">
      <c r="A8" s="6" t="s">
        <v>2</v>
      </c>
      <c r="B8" s="11">
        <v>1E-10</v>
      </c>
      <c r="D8" s="19">
        <v>0</v>
      </c>
      <c r="E8" s="20">
        <v>2</v>
      </c>
      <c r="F8" s="9">
        <v>40</v>
      </c>
      <c r="G8" s="9">
        <v>-0.61370563888010943</v>
      </c>
      <c r="H8" s="9">
        <v>1.9678538471091803E-14</v>
      </c>
    </row>
    <row r="9" spans="1:8" x14ac:dyDescent="0.25">
      <c r="A9" s="6" t="s">
        <v>26</v>
      </c>
      <c r="B9" s="10">
        <v>0</v>
      </c>
      <c r="D9" s="19">
        <v>0</v>
      </c>
      <c r="E9" s="20">
        <v>10</v>
      </c>
      <c r="F9" s="9">
        <v>40</v>
      </c>
      <c r="G9" s="9">
        <v>13.025850929940455</v>
      </c>
      <c r="H9" s="9">
        <v>1.107853960543576E-13</v>
      </c>
    </row>
    <row r="10" spans="1:8" x14ac:dyDescent="0.25">
      <c r="A10" s="6" t="s">
        <v>27</v>
      </c>
      <c r="B10" s="10">
        <v>0</v>
      </c>
      <c r="D10" s="19"/>
      <c r="E10" s="20"/>
      <c r="F10" s="9"/>
      <c r="G10" s="9"/>
      <c r="H10" s="9"/>
    </row>
    <row r="11" spans="1:8" x14ac:dyDescent="0.25">
      <c r="A11" s="6" t="s">
        <v>28</v>
      </c>
      <c r="B11" s="10">
        <v>2</v>
      </c>
      <c r="D11" s="21"/>
      <c r="E11" s="22"/>
      <c r="F11" s="13"/>
      <c r="G11" s="13"/>
      <c r="H11" s="13"/>
    </row>
    <row r="12" spans="1:8" x14ac:dyDescent="0.25">
      <c r="D12" s="17"/>
      <c r="E12" s="18"/>
      <c r="F12" s="14"/>
      <c r="G12" s="14"/>
      <c r="H12" s="14"/>
    </row>
    <row r="13" spans="1:8" x14ac:dyDescent="0.25">
      <c r="A13" s="26" t="s">
        <v>15</v>
      </c>
      <c r="D13" s="19"/>
      <c r="E13" s="20"/>
      <c r="F13" s="9"/>
      <c r="G13" s="9"/>
      <c r="H13" s="9"/>
    </row>
    <row r="14" spans="1:8" x14ac:dyDescent="0.25">
      <c r="A14" s="6" t="s">
        <v>42</v>
      </c>
      <c r="B14" s="10">
        <v>0</v>
      </c>
      <c r="D14" s="19"/>
      <c r="E14" s="20"/>
      <c r="F14" s="9"/>
      <c r="G14" s="9"/>
      <c r="H14" s="9"/>
    </row>
    <row r="15" spans="1:8" x14ac:dyDescent="0.25">
      <c r="D15" s="19"/>
      <c r="E15" s="20"/>
      <c r="F15" s="9"/>
      <c r="G15" s="9"/>
      <c r="H15" s="9"/>
    </row>
    <row r="16" spans="1:8" x14ac:dyDescent="0.25">
      <c r="A16" s="26" t="s">
        <v>20</v>
      </c>
      <c r="D16" s="21"/>
      <c r="E16" s="22"/>
      <c r="F16" s="13"/>
      <c r="G16" s="13"/>
      <c r="H16" s="13"/>
    </row>
    <row r="17" spans="1:1" x14ac:dyDescent="0.25">
      <c r="A17" t="s">
        <v>30</v>
      </c>
    </row>
    <row r="18" spans="1:1" x14ac:dyDescent="0.25">
      <c r="A18" t="s">
        <v>31</v>
      </c>
    </row>
    <row r="19" spans="1:1" x14ac:dyDescent="0.25">
      <c r="A19" t="s">
        <v>32</v>
      </c>
    </row>
    <row r="20" spans="1:1" x14ac:dyDescent="0.25">
      <c r="A20" t="s">
        <v>33</v>
      </c>
    </row>
  </sheetData>
  <phoneticPr fontId="3"/>
  <dataValidations count="1">
    <dataValidation type="whole" allowBlank="1" showInputMessage="1" showErrorMessage="1" prompt="0: コールバック版_x000a_1: リバースコミュニケーション版" sqref="B14" xr:uid="{C16D6937-C64B-4CA9-93D5-0E343306E5F1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161925</xdr:rowOff>
                  </from>
                  <to>
                    <xdr:col>3</xdr:col>
                    <xdr:colOff>1085850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Start5">
                <anchor moveWithCells="1" sizeWithCells="1">
                  <from>
                    <xdr:col>1</xdr:col>
                    <xdr:colOff>0</xdr:colOff>
                    <xdr:row>1</xdr:row>
                    <xdr:rowOff>171450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H17"/>
  <sheetViews>
    <sheetView workbookViewId="0"/>
  </sheetViews>
  <sheetFormatPr defaultRowHeight="12.75" x14ac:dyDescent="0.25"/>
  <cols>
    <col min="1" max="1" width="13.3984375" customWidth="1"/>
    <col min="2" max="2" width="13.73046875" customWidth="1"/>
    <col min="3" max="3" width="11.265625" customWidth="1"/>
    <col min="4" max="5" width="14.3984375" customWidth="1"/>
    <col min="6" max="6" width="12.59765625" customWidth="1"/>
    <col min="7" max="8" width="14.3984375" customWidth="1"/>
  </cols>
  <sheetData>
    <row r="1" spans="1:8" x14ac:dyDescent="0.25">
      <c r="A1" s="1" t="s">
        <v>34</v>
      </c>
    </row>
    <row r="2" spans="1:8" x14ac:dyDescent="0.25">
      <c r="A2" s="1"/>
    </row>
    <row r="3" spans="1:8" x14ac:dyDescent="0.25">
      <c r="A3" s="2"/>
      <c r="F3" t="s">
        <v>35</v>
      </c>
    </row>
    <row r="5" spans="1:8" x14ac:dyDescent="0.25">
      <c r="A5" t="s">
        <v>3</v>
      </c>
      <c r="D5" t="s">
        <v>45</v>
      </c>
    </row>
    <row r="6" spans="1:8" x14ac:dyDescent="0.25">
      <c r="A6" s="6" t="s">
        <v>0</v>
      </c>
      <c r="B6" s="7">
        <v>1.8971841708845463</v>
      </c>
      <c r="D6" s="15" t="s">
        <v>7</v>
      </c>
      <c r="E6" s="16" t="s">
        <v>8</v>
      </c>
      <c r="F6" s="3" t="s">
        <v>13</v>
      </c>
      <c r="G6" s="3" t="s">
        <v>12</v>
      </c>
      <c r="H6" s="3" t="s">
        <v>9</v>
      </c>
    </row>
    <row r="7" spans="1:8" x14ac:dyDescent="0.25">
      <c r="A7" s="6" t="s">
        <v>1</v>
      </c>
      <c r="B7" s="10">
        <v>1</v>
      </c>
      <c r="C7" s="4"/>
      <c r="D7" s="17">
        <v>0</v>
      </c>
      <c r="E7" s="18">
        <f>PI()/2</f>
        <v>1.5707963267948966</v>
      </c>
      <c r="F7" s="14">
        <v>15</v>
      </c>
      <c r="G7" s="14">
        <v>0.99999999999999989</v>
      </c>
      <c r="H7" s="14">
        <v>1.1102230246251564E-14</v>
      </c>
    </row>
    <row r="8" spans="1:8" x14ac:dyDescent="0.25">
      <c r="A8" s="6" t="s">
        <v>2</v>
      </c>
      <c r="B8" s="11">
        <v>1E-10</v>
      </c>
      <c r="D8" s="19">
        <v>0</v>
      </c>
      <c r="E8" s="20">
        <f>PI()</f>
        <v>3.1415926535897931</v>
      </c>
      <c r="F8" s="9">
        <v>15</v>
      </c>
      <c r="G8" s="9">
        <v>2</v>
      </c>
      <c r="H8" s="9">
        <v>2.2204460492503131E-14</v>
      </c>
    </row>
    <row r="9" spans="1:8" x14ac:dyDescent="0.25">
      <c r="A9" s="6" t="s">
        <v>36</v>
      </c>
      <c r="B9" s="10">
        <v>1</v>
      </c>
      <c r="D9" s="19"/>
      <c r="E9" s="20"/>
      <c r="F9" s="9"/>
      <c r="G9" s="9"/>
      <c r="H9" s="9"/>
    </row>
    <row r="10" spans="1:8" x14ac:dyDescent="0.25">
      <c r="A10" s="6" t="s">
        <v>28</v>
      </c>
      <c r="B10" s="10">
        <v>2</v>
      </c>
      <c r="D10" s="19"/>
      <c r="E10" s="20"/>
      <c r="F10" s="9"/>
      <c r="G10" s="9"/>
      <c r="H10" s="9"/>
    </row>
    <row r="11" spans="1:8" x14ac:dyDescent="0.25">
      <c r="D11" s="21"/>
      <c r="E11" s="22"/>
      <c r="F11" s="13"/>
      <c r="G11" s="13"/>
      <c r="H11" s="13"/>
    </row>
    <row r="12" spans="1:8" x14ac:dyDescent="0.25">
      <c r="A12" s="26" t="s">
        <v>15</v>
      </c>
      <c r="D12" s="17"/>
      <c r="E12" s="18"/>
      <c r="F12" s="14"/>
      <c r="G12" s="14"/>
      <c r="H12" s="14"/>
    </row>
    <row r="13" spans="1:8" x14ac:dyDescent="0.25">
      <c r="A13" s="6" t="s">
        <v>42</v>
      </c>
      <c r="B13" s="10">
        <v>0</v>
      </c>
      <c r="D13" s="19"/>
      <c r="E13" s="20"/>
      <c r="F13" s="9"/>
      <c r="G13" s="9"/>
      <c r="H13" s="9"/>
    </row>
    <row r="14" spans="1:8" x14ac:dyDescent="0.25">
      <c r="D14" s="19"/>
      <c r="E14" s="20"/>
      <c r="F14" s="9"/>
      <c r="G14" s="9"/>
      <c r="H14" s="9"/>
    </row>
    <row r="15" spans="1:8" x14ac:dyDescent="0.25">
      <c r="A15" s="26" t="s">
        <v>20</v>
      </c>
      <c r="D15" s="19"/>
      <c r="E15" s="20"/>
      <c r="F15" s="9"/>
      <c r="G15" s="9"/>
      <c r="H15" s="9"/>
    </row>
    <row r="16" spans="1:8" x14ac:dyDescent="0.25">
      <c r="A16" t="s">
        <v>37</v>
      </c>
      <c r="D16" s="21"/>
      <c r="E16" s="22"/>
      <c r="F16" s="13"/>
      <c r="G16" s="13"/>
      <c r="H16" s="13"/>
    </row>
    <row r="17" spans="1:1" x14ac:dyDescent="0.25">
      <c r="A17" t="s">
        <v>38</v>
      </c>
    </row>
  </sheetData>
  <phoneticPr fontId="3"/>
  <dataValidations count="1">
    <dataValidation type="whole" allowBlank="1" showInputMessage="1" showErrorMessage="1" prompt="0: コールバック版_x000a_1: リバースコミュニケーション版" sqref="B13" xr:uid="{97B654B7-FFB7-4BA1-9724-09E541B3275B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161925</xdr:rowOff>
                  </from>
                  <to>
                    <xdr:col>3</xdr:col>
                    <xdr:colOff>1085850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Start6">
                <anchor moveWithCells="1" sizeWithCells="1">
                  <from>
                    <xdr:col>1</xdr:col>
                    <xdr:colOff>0</xdr:colOff>
                    <xdr:row>1</xdr:row>
                    <xdr:rowOff>171450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H18"/>
  <sheetViews>
    <sheetView workbookViewId="0"/>
  </sheetViews>
  <sheetFormatPr defaultRowHeight="12.75" x14ac:dyDescent="0.25"/>
  <cols>
    <col min="1" max="1" width="13.3984375" customWidth="1"/>
    <col min="2" max="2" width="13.73046875" customWidth="1"/>
    <col min="3" max="3" width="11.265625" customWidth="1"/>
    <col min="4" max="5" width="14.3984375" customWidth="1"/>
    <col min="6" max="6" width="12.59765625" customWidth="1"/>
    <col min="7" max="8" width="14.3984375" customWidth="1"/>
  </cols>
  <sheetData>
    <row r="1" spans="1:8" x14ac:dyDescent="0.25">
      <c r="A1" s="1" t="s">
        <v>47</v>
      </c>
    </row>
    <row r="2" spans="1:8" x14ac:dyDescent="0.25">
      <c r="A2" s="1"/>
    </row>
    <row r="3" spans="1:8" x14ac:dyDescent="0.25">
      <c r="A3" s="2"/>
      <c r="F3" t="s">
        <v>39</v>
      </c>
    </row>
    <row r="5" spans="1:8" x14ac:dyDescent="0.25">
      <c r="A5" t="s">
        <v>3</v>
      </c>
      <c r="D5" t="s">
        <v>46</v>
      </c>
    </row>
    <row r="6" spans="1:8" x14ac:dyDescent="0.25">
      <c r="A6" s="6" t="s">
        <v>0</v>
      </c>
      <c r="B6" s="7">
        <v>24.946854712054101</v>
      </c>
      <c r="D6" s="15" t="s">
        <v>7</v>
      </c>
      <c r="E6" s="3" t="s">
        <v>10</v>
      </c>
      <c r="F6" s="3" t="s">
        <v>13</v>
      </c>
      <c r="G6" s="3" t="s">
        <v>12</v>
      </c>
      <c r="H6" s="3" t="s">
        <v>9</v>
      </c>
    </row>
    <row r="7" spans="1:8" x14ac:dyDescent="0.25">
      <c r="A7" s="6" t="s">
        <v>1</v>
      </c>
      <c r="B7" s="10">
        <f>EXP(-(B6 ^2))</f>
        <v>5.2330808486974866E-271</v>
      </c>
      <c r="C7" s="4"/>
      <c r="D7" s="17">
        <v>0</v>
      </c>
      <c r="E7" s="23" t="s">
        <v>11</v>
      </c>
      <c r="F7" s="14">
        <v>215</v>
      </c>
      <c r="G7" s="14">
        <v>0.69019422352157134</v>
      </c>
      <c r="H7" s="14">
        <v>2.8511946195088521E-11</v>
      </c>
    </row>
    <row r="8" spans="1:8" x14ac:dyDescent="0.25">
      <c r="A8" s="6" t="s">
        <v>2</v>
      </c>
      <c r="B8" s="11">
        <v>1E-10</v>
      </c>
      <c r="D8" s="19">
        <v>1</v>
      </c>
      <c r="E8" s="24" t="s">
        <v>11</v>
      </c>
      <c r="F8" s="9">
        <v>215</v>
      </c>
      <c r="G8" s="9">
        <v>3.4019860790064672E-2</v>
      </c>
      <c r="H8" s="9">
        <v>1.0544607839137562E-11</v>
      </c>
    </row>
    <row r="9" spans="1:8" x14ac:dyDescent="0.25">
      <c r="A9" s="6" t="s">
        <v>36</v>
      </c>
      <c r="B9" s="10">
        <v>1</v>
      </c>
      <c r="D9" s="19">
        <v>2</v>
      </c>
      <c r="E9" s="24" t="s">
        <v>11</v>
      </c>
      <c r="F9" s="9">
        <v>215</v>
      </c>
      <c r="G9" s="9">
        <v>-2.4172281040247389E-3</v>
      </c>
      <c r="H9" s="9">
        <v>4.712020177392271E-13</v>
      </c>
    </row>
    <row r="10" spans="1:8" x14ac:dyDescent="0.25">
      <c r="A10" s="6" t="s">
        <v>28</v>
      </c>
      <c r="B10" s="10">
        <v>1</v>
      </c>
      <c r="D10" s="19"/>
      <c r="E10" s="24" t="s">
        <v>11</v>
      </c>
      <c r="F10" s="9"/>
      <c r="G10" s="9"/>
      <c r="H10" s="9"/>
    </row>
    <row r="11" spans="1:8" x14ac:dyDescent="0.25">
      <c r="D11" s="21"/>
      <c r="E11" s="25" t="s">
        <v>11</v>
      </c>
      <c r="F11" s="13"/>
      <c r="G11" s="13"/>
      <c r="H11" s="13"/>
    </row>
    <row r="12" spans="1:8" x14ac:dyDescent="0.25">
      <c r="A12" s="26" t="s">
        <v>15</v>
      </c>
      <c r="D12" s="17"/>
      <c r="E12" s="27" t="s">
        <v>11</v>
      </c>
      <c r="F12" s="14"/>
      <c r="G12" s="14"/>
      <c r="H12" s="14"/>
    </row>
    <row r="13" spans="1:8" x14ac:dyDescent="0.25">
      <c r="A13" s="6" t="s">
        <v>16</v>
      </c>
      <c r="B13" s="10">
        <v>0</v>
      </c>
      <c r="D13" s="19"/>
      <c r="E13" s="24" t="s">
        <v>11</v>
      </c>
      <c r="F13" s="9"/>
      <c r="G13" s="9"/>
      <c r="H13" s="9"/>
    </row>
    <row r="14" spans="1:8" x14ac:dyDescent="0.25">
      <c r="A14" s="6" t="s">
        <v>42</v>
      </c>
      <c r="B14" s="10">
        <v>0</v>
      </c>
      <c r="D14" s="19"/>
      <c r="E14" s="24" t="s">
        <v>11</v>
      </c>
      <c r="F14" s="9"/>
      <c r="G14" s="9"/>
      <c r="H14" s="9"/>
    </row>
    <row r="15" spans="1:8" x14ac:dyDescent="0.25">
      <c r="D15" s="19"/>
      <c r="E15" s="24" t="s">
        <v>11</v>
      </c>
      <c r="F15" s="9"/>
      <c r="G15" s="9"/>
      <c r="H15" s="9"/>
    </row>
    <row r="16" spans="1:8" x14ac:dyDescent="0.25">
      <c r="A16" s="26" t="s">
        <v>20</v>
      </c>
      <c r="D16" s="21"/>
      <c r="E16" s="25" t="s">
        <v>11</v>
      </c>
      <c r="F16" s="13"/>
      <c r="G16" s="13"/>
      <c r="H16" s="13"/>
    </row>
    <row r="17" spans="1:1" x14ac:dyDescent="0.25">
      <c r="A17" t="s">
        <v>37</v>
      </c>
    </row>
    <row r="18" spans="1:1" x14ac:dyDescent="0.25">
      <c r="A18" t="s">
        <v>38</v>
      </c>
    </row>
  </sheetData>
  <phoneticPr fontId="3"/>
  <dataValidations count="2">
    <dataValidation type="whole" allowBlank="1" showInputMessage="1" showErrorMessage="1" prompt="0: コールバック版_x000a_1: リバースコミュニケーション版" sqref="B14" xr:uid="{D88AFF37-8B36-49B9-A353-2A8572C912A0}">
      <formula1>0</formula1>
      <formula2>1</formula2>
    </dataValidation>
    <dataValidation type="whole" allowBlank="1" showInputMessage="1" showErrorMessage="1" prompt="0: Qawf_x000a_1: Deoint" sqref="B13" xr:uid="{045520AC-6E7E-49F5-9339-0582CF844968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161925</xdr:rowOff>
                  </from>
                  <to>
                    <xdr:col>3</xdr:col>
                    <xdr:colOff>1085850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Start7">
                <anchor moveWithCells="1" sizeWithCells="1">
                  <from>
                    <xdr:col>1</xdr:col>
                    <xdr:colOff>0</xdr:colOff>
                    <xdr:row>1</xdr:row>
                    <xdr:rowOff>171450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有限区間</vt:lpstr>
      <vt:lpstr>半無限区間</vt:lpstr>
      <vt:lpstr>無限区間</vt:lpstr>
      <vt:lpstr>Cauchy主値積分</vt:lpstr>
      <vt:lpstr>端点が特異点の積分</vt:lpstr>
      <vt:lpstr>振動型関数</vt:lpstr>
      <vt:lpstr>フーリエ積分</vt:lpstr>
    </vt:vector>
  </TitlesOfParts>
  <Manager/>
  <Company>K Technologies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Quadrature</dc:title>
  <dc:creator/>
  <dc:description>(C) 2014-2018 K Technologies</dc:description>
  <cp:lastModifiedBy>User</cp:lastModifiedBy>
  <dcterms:created xsi:type="dcterms:W3CDTF">2012-08-03T09:16:08Z</dcterms:created>
  <dcterms:modified xsi:type="dcterms:W3CDTF">2020-03-21T03:03:56Z</dcterms:modified>
</cp:coreProperties>
</file>
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2\XLPack\sample\Full\ja\VBA\"/>
    </mc:Choice>
  </mc:AlternateContent>
  <xr:revisionPtr revIDLastSave="0" documentId="13_ncr:1_{0102B89A-8033-4889-847A-06497B602FD0}" xr6:coauthVersionLast="40" xr6:coauthVersionMax="40" xr10:uidLastSave="{00000000-0000-0000-0000-000000000000}"/>
  <bookViews>
    <workbookView xWindow="2220" yWindow="135" windowWidth="20865" windowHeight="15450" xr2:uid="{00000000-000D-0000-FFFF-FFFF00000000}"/>
  </bookViews>
  <sheets>
    <sheet name="非線形最小二乗法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4" l="1"/>
  <c r="B19" i="4"/>
  <c r="B18" i="4"/>
</calcChain>
</file>

<file path=xl/sharedStrings.xml><?xml version="1.0" encoding="utf-8"?>
<sst xmlns="http://schemas.openxmlformats.org/spreadsheetml/2006/main" count="38" uniqueCount="38">
  <si>
    <t xml:space="preserve">Err = </t>
    <phoneticPr fontId="3"/>
  </si>
  <si>
    <t>例:</t>
    <rPh sb="0" eb="1">
      <t>レイ</t>
    </rPh>
    <phoneticPr fontId="3"/>
  </si>
  <si>
    <t xml:space="preserve">リターンコード = </t>
    <phoneticPr fontId="3"/>
  </si>
  <si>
    <t xml:space="preserve">途中経過 = </t>
    <rPh sb="0" eb="2">
      <t>トチュウ</t>
    </rPh>
    <rPh sb="2" eb="4">
      <t>ケイカ</t>
    </rPh>
    <phoneticPr fontId="3"/>
  </si>
  <si>
    <t>パラメータおよび計算結果</t>
    <rPh sb="8" eb="10">
      <t>ケイサン</t>
    </rPh>
    <rPh sb="10" eb="12">
      <t>ケッカ</t>
    </rPh>
    <phoneticPr fontId="3"/>
  </si>
  <si>
    <t>方程式の定義</t>
    <rPh sb="0" eb="3">
      <t>ホウテイシキ</t>
    </rPh>
    <rPh sb="4" eb="6">
      <t>テイギ</t>
    </rPh>
    <phoneticPr fontId="3"/>
  </si>
  <si>
    <t>使用プログラム</t>
    <rPh sb="0" eb="2">
      <t>シヨウ</t>
    </rPh>
    <phoneticPr fontId="3"/>
  </si>
  <si>
    <t xml:space="preserve">Prog = </t>
    <phoneticPr fontId="3"/>
  </si>
  <si>
    <t>初期推定値 -&gt;</t>
    <rPh sb="0" eb="2">
      <t>ショキ</t>
    </rPh>
    <rPh sb="2" eb="5">
      <t>スイテイチ</t>
    </rPh>
    <phoneticPr fontId="3"/>
  </si>
  <si>
    <t>Fun</t>
    <phoneticPr fontId="3"/>
  </si>
  <si>
    <t>Jac</t>
    <phoneticPr fontId="3"/>
  </si>
  <si>
    <t>非線形最小二乗法</t>
    <rPh sb="0" eb="3">
      <t>ヒセンケイ</t>
    </rPh>
    <rPh sb="3" eb="5">
      <t>サイショウ</t>
    </rPh>
    <rPh sb="5" eb="8">
      <t>ジジョウホウ</t>
    </rPh>
    <phoneticPr fontId="3"/>
  </si>
  <si>
    <t xml:space="preserve">  f(x) = p1*(1 - exp(-p2*x))</t>
    <phoneticPr fontId="3"/>
  </si>
  <si>
    <t>残差二乗和</t>
    <rPh sb="0" eb="5">
      <t>ザンサジジョウワ</t>
    </rPh>
    <phoneticPr fontId="3"/>
  </si>
  <si>
    <t xml:space="preserve">データ数 M = </t>
    <rPh sb="3" eb="4">
      <t>スウ</t>
    </rPh>
    <phoneticPr fontId="3"/>
  </si>
  <si>
    <t xml:space="preserve">パラメータ数 N = </t>
    <rPh sb="5" eb="6">
      <t>スウ</t>
    </rPh>
    <phoneticPr fontId="3"/>
  </si>
  <si>
    <t xml:space="preserve">x = </t>
    <phoneticPr fontId="3"/>
  </si>
  <si>
    <t xml:space="preserve">p1 = </t>
    <phoneticPr fontId="3"/>
  </si>
  <si>
    <t xml:space="preserve">p2 = </t>
    <phoneticPr fontId="3"/>
  </si>
  <si>
    <t xml:space="preserve">p3 = </t>
    <phoneticPr fontId="3"/>
  </si>
  <si>
    <t xml:space="preserve">p4 = </t>
    <phoneticPr fontId="3"/>
  </si>
  <si>
    <t xml:space="preserve">f(x, p1, p2, ...) = </t>
    <phoneticPr fontId="3"/>
  </si>
  <si>
    <t xml:space="preserve">df(x, p1, ...)/dp1 = </t>
    <phoneticPr fontId="3"/>
  </si>
  <si>
    <t xml:space="preserve">df(x, p1, ...)/dp2 = </t>
    <phoneticPr fontId="3"/>
  </si>
  <si>
    <t xml:space="preserve">df(x, p1, ...)/dp3 = </t>
    <phoneticPr fontId="3"/>
  </si>
  <si>
    <t xml:space="preserve">df(x, p1, ...)/dp4 = </t>
    <phoneticPr fontId="3"/>
  </si>
  <si>
    <t>データ</t>
    <phoneticPr fontId="3"/>
  </si>
  <si>
    <t>X</t>
    <phoneticPr fontId="3"/>
  </si>
  <si>
    <t>Y</t>
    <phoneticPr fontId="3"/>
  </si>
  <si>
    <t>p1</t>
    <phoneticPr fontId="3"/>
  </si>
  <si>
    <t>p2</t>
    <phoneticPr fontId="3"/>
  </si>
  <si>
    <t>p3</t>
    <phoneticPr fontId="3"/>
  </si>
  <si>
    <t>p4</t>
    <phoneticPr fontId="3"/>
  </si>
  <si>
    <t>微分係数(df(x, p1, ...)/dpj)は不要</t>
    <rPh sb="0" eb="2">
      <t>ビブン</t>
    </rPh>
    <rPh sb="2" eb="4">
      <t>ケイスウ</t>
    </rPh>
    <rPh sb="25" eb="27">
      <t>フヨウ</t>
    </rPh>
    <phoneticPr fontId="3"/>
  </si>
  <si>
    <t>http://www.itl.nist.gov/div898/strd/nls/data/misra1a.shtml</t>
    <phoneticPr fontId="3"/>
  </si>
  <si>
    <t>(注) Lmder, Lmder1, N2g以外では</t>
    <rPh sb="1" eb="2">
      <t>チュウ</t>
    </rPh>
    <rPh sb="22" eb="24">
      <t>イガイ</t>
    </rPh>
    <phoneticPr fontId="3"/>
  </si>
  <si>
    <t xml:space="preserve">Revcom = </t>
    <phoneticPr fontId="3"/>
  </si>
  <si>
    <t>Lmder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</si>
</sst>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6" xfId="0" applyBorder="1" applyAlignment="1">
      <alignment horizontal="right" vertical="center"/>
    </xf>
    <xf numFmtId="0" fontId="0" fillId="2" borderId="6" xfId="0" applyFill="1" applyBorder="1">
      <alignment vertical="center"/>
    </xf>
    <xf numFmtId="0" fontId="0" fillId="0" borderId="5" xfId="0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5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itl.nist.gov/div898/strd/nls/data/misra1a.s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56"/>
  <sheetViews>
    <sheetView tabSelected="1" workbookViewId="0"/>
  </sheetViews>
  <sheetFormatPr defaultRowHeight="13.5" x14ac:dyDescent="0.15"/>
  <cols>
    <col min="1" max="1" width="15.625" customWidth="1"/>
    <col min="2" max="2" width="10.625" customWidth="1"/>
    <col min="3" max="4" width="4.625" customWidth="1"/>
    <col min="5" max="6" width="11.625" customWidth="1"/>
    <col min="7" max="7" width="4.625" customWidth="1"/>
    <col min="8" max="9" width="5.625" customWidth="1"/>
    <col min="10" max="14" width="11.625" customWidth="1"/>
  </cols>
  <sheetData>
    <row r="1" spans="1:14" x14ac:dyDescent="0.15">
      <c r="A1" s="1" t="s">
        <v>11</v>
      </c>
    </row>
    <row r="2" spans="1:14" x14ac:dyDescent="0.15">
      <c r="A2" s="1"/>
      <c r="I2" t="s">
        <v>1</v>
      </c>
    </row>
    <row r="3" spans="1:14" x14ac:dyDescent="0.15">
      <c r="A3" s="2"/>
      <c r="I3" s="16" t="s">
        <v>12</v>
      </c>
      <c r="J3" s="16"/>
      <c r="L3" s="24" t="s">
        <v>34</v>
      </c>
    </row>
    <row r="5" spans="1:14" x14ac:dyDescent="0.15">
      <c r="A5" t="s">
        <v>4</v>
      </c>
      <c r="D5" t="s">
        <v>26</v>
      </c>
      <c r="H5" t="s">
        <v>37</v>
      </c>
    </row>
    <row r="6" spans="1:14" x14ac:dyDescent="0.15">
      <c r="A6" s="4" t="s">
        <v>0</v>
      </c>
      <c r="B6" s="7">
        <v>1E-10</v>
      </c>
      <c r="D6" s="8"/>
      <c r="E6" s="8" t="s">
        <v>27</v>
      </c>
      <c r="F6" s="8" t="s">
        <v>28</v>
      </c>
      <c r="H6" s="8" t="s">
        <v>9</v>
      </c>
      <c r="I6" s="8" t="s">
        <v>10</v>
      </c>
      <c r="J6" s="8" t="s">
        <v>13</v>
      </c>
      <c r="K6" s="8" t="s">
        <v>29</v>
      </c>
      <c r="L6" s="8" t="s">
        <v>30</v>
      </c>
      <c r="M6" s="8" t="s">
        <v>31</v>
      </c>
      <c r="N6" s="8" t="s">
        <v>32</v>
      </c>
    </row>
    <row r="7" spans="1:14" x14ac:dyDescent="0.15">
      <c r="A7" s="4" t="s">
        <v>3</v>
      </c>
      <c r="B7" s="17">
        <v>1</v>
      </c>
      <c r="C7" s="3"/>
      <c r="D7" s="9">
        <v>1</v>
      </c>
      <c r="E7" s="15">
        <v>77.599999999999994</v>
      </c>
      <c r="F7" s="15">
        <v>10.07</v>
      </c>
      <c r="G7" s="3"/>
      <c r="H7" s="9" t="s">
        <v>8</v>
      </c>
      <c r="I7" s="9"/>
      <c r="J7" s="9"/>
      <c r="K7" s="15">
        <v>500</v>
      </c>
      <c r="L7" s="15">
        <v>1E-4</v>
      </c>
      <c r="M7" s="15"/>
      <c r="N7" s="15"/>
    </row>
    <row r="8" spans="1:14" x14ac:dyDescent="0.15">
      <c r="A8" s="4" t="s">
        <v>2</v>
      </c>
      <c r="B8" s="5">
        <v>0</v>
      </c>
      <c r="D8" s="10">
        <v>2</v>
      </c>
      <c r="E8" s="22">
        <v>114.9</v>
      </c>
      <c r="F8" s="22">
        <v>14.73</v>
      </c>
      <c r="H8" s="10">
        <v>1</v>
      </c>
      <c r="I8" s="10">
        <v>0</v>
      </c>
      <c r="J8" s="10">
        <v>10780.190163909723</v>
      </c>
      <c r="K8" s="10">
        <v>500</v>
      </c>
      <c r="L8" s="10">
        <v>1E-4</v>
      </c>
      <c r="M8" s="10"/>
      <c r="N8" s="10"/>
    </row>
    <row r="9" spans="1:14" x14ac:dyDescent="0.15">
      <c r="D9" s="10">
        <v>3</v>
      </c>
      <c r="E9" s="22">
        <v>141.1</v>
      </c>
      <c r="F9" s="22">
        <v>17.940000000000001</v>
      </c>
      <c r="H9" s="10">
        <v>2</v>
      </c>
      <c r="I9" s="10">
        <v>1</v>
      </c>
      <c r="J9" s="10">
        <v>27301270.605207209</v>
      </c>
      <c r="K9" s="10">
        <v>-3767.0947466403968</v>
      </c>
      <c r="L9" s="10">
        <v>1.1144257467136807E-3</v>
      </c>
      <c r="M9" s="10"/>
      <c r="N9" s="10"/>
    </row>
    <row r="10" spans="1:14" x14ac:dyDescent="0.15">
      <c r="A10" t="s">
        <v>5</v>
      </c>
      <c r="D10" s="10">
        <v>4</v>
      </c>
      <c r="E10" s="22">
        <v>190.8</v>
      </c>
      <c r="F10" s="22">
        <v>23.93</v>
      </c>
      <c r="H10" s="10">
        <v>3</v>
      </c>
      <c r="I10" s="10">
        <v>1</v>
      </c>
      <c r="J10" s="10">
        <v>53.056857894724097</v>
      </c>
      <c r="K10" s="10">
        <v>491.43300980494286</v>
      </c>
      <c r="L10" s="10">
        <v>2.3828110693372264E-4</v>
      </c>
      <c r="M10" s="10"/>
      <c r="N10" s="10"/>
    </row>
    <row r="11" spans="1:14" x14ac:dyDescent="0.15">
      <c r="A11" s="18" t="s">
        <v>14</v>
      </c>
      <c r="B11" s="19">
        <v>14</v>
      </c>
      <c r="D11" s="10">
        <v>5</v>
      </c>
      <c r="E11" s="22">
        <v>239.9</v>
      </c>
      <c r="F11" s="22">
        <v>29.61</v>
      </c>
      <c r="H11" s="10">
        <v>4</v>
      </c>
      <c r="I11" s="10">
        <v>2</v>
      </c>
      <c r="J11" s="10">
        <v>13145.278544842626</v>
      </c>
      <c r="K11" s="10">
        <v>105.82605919630169</v>
      </c>
      <c r="L11" s="10">
        <v>4.4661023949986271E-4</v>
      </c>
      <c r="M11" s="10"/>
      <c r="N11" s="10"/>
    </row>
    <row r="12" spans="1:14" x14ac:dyDescent="0.15">
      <c r="A12" s="18" t="s">
        <v>15</v>
      </c>
      <c r="B12" s="19">
        <v>2</v>
      </c>
      <c r="D12" s="10">
        <v>6</v>
      </c>
      <c r="E12" s="22">
        <v>289</v>
      </c>
      <c r="F12" s="22">
        <v>35.18</v>
      </c>
      <c r="H12" s="10">
        <v>5</v>
      </c>
      <c r="I12" s="10">
        <v>2</v>
      </c>
      <c r="J12" s="10">
        <v>18.260651562987182</v>
      </c>
      <c r="K12" s="10">
        <v>460.82088822446195</v>
      </c>
      <c r="L12" s="10">
        <v>2.6252306955275046E-4</v>
      </c>
      <c r="M12" s="10"/>
      <c r="N12" s="10"/>
    </row>
    <row r="13" spans="1:14" x14ac:dyDescent="0.15">
      <c r="A13" s="4" t="s">
        <v>16</v>
      </c>
      <c r="B13" s="5">
        <v>760</v>
      </c>
      <c r="D13" s="10">
        <v>7</v>
      </c>
      <c r="E13" s="22">
        <v>332.8</v>
      </c>
      <c r="F13" s="22">
        <v>40.020000000000003</v>
      </c>
      <c r="H13" s="10">
        <v>6</v>
      </c>
      <c r="I13" s="10">
        <v>3</v>
      </c>
      <c r="J13" s="10">
        <v>31.954769930301772</v>
      </c>
      <c r="K13" s="10">
        <v>392.18819049630008</v>
      </c>
      <c r="L13" s="10">
        <v>3.0644368621367176E-4</v>
      </c>
      <c r="M13" s="10"/>
      <c r="N13" s="10"/>
    </row>
    <row r="14" spans="1:14" x14ac:dyDescent="0.15">
      <c r="A14" s="12" t="s">
        <v>17</v>
      </c>
      <c r="B14" s="9">
        <v>238.94212917886173</v>
      </c>
      <c r="D14" s="10">
        <v>8</v>
      </c>
      <c r="E14" s="22">
        <v>378.4</v>
      </c>
      <c r="F14" s="22">
        <v>44.82</v>
      </c>
      <c r="H14" s="10">
        <v>7</v>
      </c>
      <c r="I14" s="10">
        <v>3</v>
      </c>
      <c r="J14" s="10">
        <v>15.992401195844749</v>
      </c>
      <c r="K14" s="10">
        <v>449.75305990098042</v>
      </c>
      <c r="L14" s="10">
        <v>2.7112723075954057E-4</v>
      </c>
      <c r="M14" s="10"/>
      <c r="N14" s="10"/>
    </row>
    <row r="15" spans="1:14" x14ac:dyDescent="0.15">
      <c r="A15" s="13" t="s">
        <v>18</v>
      </c>
      <c r="B15" s="10">
        <v>5.501564318059135E-4</v>
      </c>
      <c r="D15" s="10">
        <v>9</v>
      </c>
      <c r="E15" s="22">
        <v>434.8</v>
      </c>
      <c r="F15" s="22">
        <v>50.76</v>
      </c>
      <c r="H15" s="10">
        <v>8</v>
      </c>
      <c r="I15" s="10">
        <v>4</v>
      </c>
      <c r="J15" s="10">
        <v>14.503778971120742</v>
      </c>
      <c r="K15" s="10">
        <v>426.55138688132428</v>
      </c>
      <c r="L15" s="10">
        <v>2.8646876341270144E-4</v>
      </c>
      <c r="M15" s="10"/>
      <c r="N15" s="10"/>
    </row>
    <row r="16" spans="1:14" x14ac:dyDescent="0.15">
      <c r="A16" s="13" t="s">
        <v>19</v>
      </c>
      <c r="B16" s="10"/>
      <c r="D16" s="6">
        <v>10</v>
      </c>
      <c r="E16" s="23">
        <v>477.3</v>
      </c>
      <c r="F16" s="23">
        <v>55.05</v>
      </c>
      <c r="H16" s="6">
        <v>9</v>
      </c>
      <c r="I16" s="6">
        <v>5</v>
      </c>
      <c r="J16" s="6">
        <v>13.842616035613537</v>
      </c>
      <c r="K16" s="6">
        <v>388.4380723591745</v>
      </c>
      <c r="L16" s="6">
        <v>3.1512839430249264E-4</v>
      </c>
      <c r="M16" s="6"/>
      <c r="N16" s="6"/>
    </row>
    <row r="17" spans="1:14" x14ac:dyDescent="0.15">
      <c r="A17" s="14" t="s">
        <v>20</v>
      </c>
      <c r="B17" s="6"/>
      <c r="D17" s="9">
        <v>11</v>
      </c>
      <c r="E17" s="15">
        <v>536.79999999999995</v>
      </c>
      <c r="F17" s="15">
        <v>61.01</v>
      </c>
      <c r="H17" s="11">
        <v>10</v>
      </c>
      <c r="I17" s="11">
        <v>6</v>
      </c>
      <c r="J17" s="11">
        <v>9.8622537892531259</v>
      </c>
      <c r="K17" s="11">
        <v>372.58221664612029</v>
      </c>
      <c r="L17" s="11">
        <v>3.3227733936195441E-4</v>
      </c>
      <c r="M17" s="11"/>
      <c r="N17" s="11"/>
    </row>
    <row r="18" spans="1:14" x14ac:dyDescent="0.15">
      <c r="A18" s="20" t="s">
        <v>21</v>
      </c>
      <c r="B18" s="21">
        <f>B14*(1-EXP(-B15*B13))</f>
        <v>81.65035779099837</v>
      </c>
      <c r="D18" s="10">
        <v>12</v>
      </c>
      <c r="E18" s="22">
        <v>593.1</v>
      </c>
      <c r="F18" s="22">
        <v>66.400000000000006</v>
      </c>
      <c r="H18" s="10">
        <v>11</v>
      </c>
      <c r="I18" s="10">
        <v>7</v>
      </c>
      <c r="J18" s="10">
        <v>9.4969683522179871</v>
      </c>
      <c r="K18" s="10">
        <v>339.52571993983895</v>
      </c>
      <c r="L18" s="10">
        <v>3.6547936428420565E-4</v>
      </c>
      <c r="M18" s="10"/>
      <c r="N18" s="10"/>
    </row>
    <row r="19" spans="1:14" x14ac:dyDescent="0.15">
      <c r="A19" s="12" t="s">
        <v>22</v>
      </c>
      <c r="B19" s="15">
        <f>-1/EXP(B13*B15)+1</f>
        <v>0.34171603840475717</v>
      </c>
      <c r="D19" s="10">
        <v>13</v>
      </c>
      <c r="E19" s="22">
        <v>689.1</v>
      </c>
      <c r="F19" s="22">
        <v>75.47</v>
      </c>
      <c r="H19" s="10">
        <v>12</v>
      </c>
      <c r="I19" s="10">
        <v>8</v>
      </c>
      <c r="J19" s="10">
        <v>5.8531221238382924</v>
      </c>
      <c r="K19" s="10">
        <v>328.56064848961017</v>
      </c>
      <c r="L19" s="10">
        <v>3.8216575309446565E-4</v>
      </c>
      <c r="M19" s="10"/>
      <c r="N19" s="10"/>
    </row>
    <row r="20" spans="1:14" x14ac:dyDescent="0.15">
      <c r="A20" s="13" t="s">
        <v>23</v>
      </c>
      <c r="B20" s="22">
        <f>B13*B14/EXP(B13*B15)</f>
        <v>119541.74625477615</v>
      </c>
      <c r="D20" s="10">
        <v>14</v>
      </c>
      <c r="E20" s="22">
        <v>760</v>
      </c>
      <c r="F20" s="22">
        <v>81.78</v>
      </c>
      <c r="H20" s="10">
        <v>13</v>
      </c>
      <c r="I20" s="10">
        <v>9</v>
      </c>
      <c r="J20" s="10">
        <v>5.058355386472571</v>
      </c>
      <c r="K20" s="10">
        <v>304.2235257654923</v>
      </c>
      <c r="L20" s="10">
        <v>4.1433820840214167E-4</v>
      </c>
      <c r="M20" s="10"/>
      <c r="N20" s="10"/>
    </row>
    <row r="21" spans="1:14" x14ac:dyDescent="0.15">
      <c r="A21" s="13" t="s">
        <v>24</v>
      </c>
      <c r="B21" s="22"/>
      <c r="D21" s="10">
        <v>15</v>
      </c>
      <c r="E21" s="22"/>
      <c r="F21" s="22"/>
      <c r="H21" s="10">
        <v>14</v>
      </c>
      <c r="I21" s="10">
        <v>10</v>
      </c>
      <c r="J21" s="10">
        <v>3.1092827156655209</v>
      </c>
      <c r="K21" s="10">
        <v>284.37544770199037</v>
      </c>
      <c r="L21" s="10">
        <v>4.4762542688260126E-4</v>
      </c>
      <c r="M21" s="10"/>
      <c r="N21" s="10"/>
    </row>
    <row r="22" spans="1:14" x14ac:dyDescent="0.15">
      <c r="A22" s="14" t="s">
        <v>25</v>
      </c>
      <c r="B22" s="23"/>
      <c r="D22" s="10">
        <v>16</v>
      </c>
      <c r="E22" s="22"/>
      <c r="F22" s="22"/>
      <c r="H22" s="10">
        <v>15</v>
      </c>
      <c r="I22" s="10">
        <v>11</v>
      </c>
      <c r="J22" s="10">
        <v>1.7569130304843117</v>
      </c>
      <c r="K22" s="10">
        <v>266.98759416023745</v>
      </c>
      <c r="L22" s="10">
        <v>4.8134662666193481E-4</v>
      </c>
      <c r="M22" s="10"/>
      <c r="N22" s="10"/>
    </row>
    <row r="23" spans="1:14" x14ac:dyDescent="0.15">
      <c r="D23" s="10">
        <v>17</v>
      </c>
      <c r="E23" s="22"/>
      <c r="F23" s="22"/>
      <c r="H23" s="10">
        <v>16</v>
      </c>
      <c r="I23" s="10">
        <v>12</v>
      </c>
      <c r="J23" s="10">
        <v>0.90483203973240212</v>
      </c>
      <c r="K23" s="10">
        <v>251.70306767582599</v>
      </c>
      <c r="L23" s="10">
        <v>5.1545108904320737E-4</v>
      </c>
      <c r="M23" s="10"/>
      <c r="N23" s="10"/>
    </row>
    <row r="24" spans="1:14" x14ac:dyDescent="0.15">
      <c r="A24" s="16" t="s">
        <v>6</v>
      </c>
      <c r="D24" s="10">
        <v>18</v>
      </c>
      <c r="E24" s="22"/>
      <c r="F24" s="22"/>
      <c r="H24" s="10">
        <v>17</v>
      </c>
      <c r="I24" s="10">
        <v>13</v>
      </c>
      <c r="J24" s="10">
        <v>0.56448920699587368</v>
      </c>
      <c r="K24" s="10">
        <v>238.08601697935498</v>
      </c>
      <c r="L24" s="10">
        <v>5.5011453180317939E-4</v>
      </c>
      <c r="M24" s="10"/>
      <c r="N24" s="10"/>
    </row>
    <row r="25" spans="1:14" x14ac:dyDescent="0.15">
      <c r="A25" s="4" t="s">
        <v>7</v>
      </c>
      <c r="B25" s="17">
        <v>0</v>
      </c>
      <c r="D25" s="10">
        <v>19</v>
      </c>
      <c r="E25" s="22"/>
      <c r="F25" s="22"/>
      <c r="H25" s="10">
        <v>18</v>
      </c>
      <c r="I25" s="10">
        <v>14</v>
      </c>
      <c r="J25" s="10">
        <v>0.12455139074277331</v>
      </c>
      <c r="K25" s="10">
        <v>238.94217247614094</v>
      </c>
      <c r="L25" s="10">
        <v>5.5015646521119357E-4</v>
      </c>
      <c r="M25" s="10"/>
      <c r="N25" s="10"/>
    </row>
    <row r="26" spans="1:14" x14ac:dyDescent="0.15">
      <c r="A26" s="4" t="s">
        <v>36</v>
      </c>
      <c r="B26" s="17">
        <v>0</v>
      </c>
      <c r="D26" s="6">
        <v>20</v>
      </c>
      <c r="E26" s="23"/>
      <c r="F26" s="23"/>
      <c r="H26" s="6">
        <v>19</v>
      </c>
      <c r="I26" s="6">
        <v>15</v>
      </c>
      <c r="J26" s="6">
        <v>0.12455138894441001</v>
      </c>
      <c r="K26" s="6">
        <v>238.94212914343086</v>
      </c>
      <c r="L26" s="6">
        <v>5.5015643190114874E-4</v>
      </c>
      <c r="M26" s="6"/>
      <c r="N26" s="6"/>
    </row>
    <row r="27" spans="1:14" x14ac:dyDescent="0.15">
      <c r="D27" s="9">
        <v>21</v>
      </c>
      <c r="E27" s="15"/>
      <c r="F27" s="15"/>
      <c r="H27" s="11">
        <v>20</v>
      </c>
      <c r="I27" s="11">
        <v>16</v>
      </c>
      <c r="J27" s="11">
        <v>0.12455138894440786</v>
      </c>
      <c r="K27" s="11">
        <v>238.94212917876055</v>
      </c>
      <c r="L27" s="11">
        <v>5.5015643180618542E-4</v>
      </c>
      <c r="M27" s="11"/>
      <c r="N27" s="11"/>
    </row>
    <row r="28" spans="1:14" x14ac:dyDescent="0.15">
      <c r="A28" t="s">
        <v>35</v>
      </c>
      <c r="D28" s="10">
        <v>22</v>
      </c>
      <c r="E28" s="22"/>
      <c r="F28" s="22"/>
      <c r="H28" s="10">
        <v>21</v>
      </c>
      <c r="I28" s="10">
        <v>17</v>
      </c>
      <c r="J28" s="10">
        <v>0.12455138894440386</v>
      </c>
      <c r="K28" s="10">
        <v>238.94212917886173</v>
      </c>
      <c r="L28" s="10">
        <v>5.501564318059135E-4</v>
      </c>
      <c r="M28" s="10"/>
      <c r="N28" s="10"/>
    </row>
    <row r="29" spans="1:14" x14ac:dyDescent="0.15">
      <c r="A29" t="s">
        <v>33</v>
      </c>
      <c r="D29" s="10">
        <v>23</v>
      </c>
      <c r="E29" s="22"/>
      <c r="F29" s="22"/>
      <c r="H29" s="10"/>
      <c r="I29" s="10"/>
      <c r="J29" s="10"/>
      <c r="K29" s="10"/>
      <c r="L29" s="10"/>
      <c r="M29" s="10"/>
      <c r="N29" s="10"/>
    </row>
    <row r="30" spans="1:14" x14ac:dyDescent="0.15">
      <c r="D30" s="10">
        <v>24</v>
      </c>
      <c r="E30" s="22"/>
      <c r="F30" s="22"/>
      <c r="H30" s="10"/>
      <c r="I30" s="10"/>
      <c r="J30" s="10"/>
      <c r="K30" s="10"/>
      <c r="L30" s="10"/>
      <c r="M30" s="10"/>
      <c r="N30" s="10"/>
    </row>
    <row r="31" spans="1:14" x14ac:dyDescent="0.15">
      <c r="D31" s="10">
        <v>25</v>
      </c>
      <c r="E31" s="22"/>
      <c r="F31" s="22"/>
      <c r="H31" s="10"/>
      <c r="I31" s="10"/>
      <c r="J31" s="10"/>
      <c r="K31" s="10"/>
      <c r="L31" s="10"/>
      <c r="M31" s="10"/>
      <c r="N31" s="10"/>
    </row>
    <row r="32" spans="1:14" x14ac:dyDescent="0.15">
      <c r="D32" s="10">
        <v>26</v>
      </c>
      <c r="E32" s="22"/>
      <c r="F32" s="22"/>
      <c r="H32" s="10"/>
      <c r="I32" s="10"/>
      <c r="J32" s="10"/>
      <c r="K32" s="10"/>
      <c r="L32" s="10"/>
      <c r="M32" s="10"/>
      <c r="N32" s="10"/>
    </row>
    <row r="33" spans="4:14" x14ac:dyDescent="0.15">
      <c r="D33" s="10">
        <v>27</v>
      </c>
      <c r="E33" s="22"/>
      <c r="F33" s="22"/>
      <c r="H33" s="10"/>
      <c r="I33" s="10"/>
      <c r="J33" s="10"/>
      <c r="K33" s="10"/>
      <c r="L33" s="10"/>
      <c r="M33" s="10"/>
      <c r="N33" s="10"/>
    </row>
    <row r="34" spans="4:14" x14ac:dyDescent="0.15">
      <c r="D34" s="10">
        <v>28</v>
      </c>
      <c r="E34" s="22"/>
      <c r="F34" s="22"/>
      <c r="H34" s="10"/>
      <c r="I34" s="10"/>
      <c r="J34" s="10"/>
      <c r="K34" s="10"/>
      <c r="L34" s="10"/>
      <c r="M34" s="10"/>
      <c r="N34" s="10"/>
    </row>
    <row r="35" spans="4:14" x14ac:dyDescent="0.15">
      <c r="D35" s="10">
        <v>29</v>
      </c>
      <c r="E35" s="22"/>
      <c r="F35" s="22"/>
      <c r="H35" s="10"/>
      <c r="I35" s="10"/>
      <c r="J35" s="10"/>
      <c r="K35" s="10"/>
      <c r="L35" s="10"/>
      <c r="M35" s="10"/>
      <c r="N35" s="10"/>
    </row>
    <row r="36" spans="4:14" x14ac:dyDescent="0.15">
      <c r="D36" s="6">
        <v>30</v>
      </c>
      <c r="E36" s="23"/>
      <c r="F36" s="23"/>
      <c r="H36" s="6"/>
      <c r="I36" s="6"/>
      <c r="J36" s="6"/>
      <c r="K36" s="6"/>
      <c r="L36" s="6"/>
      <c r="M36" s="6"/>
      <c r="N36" s="6"/>
    </row>
    <row r="37" spans="4:14" x14ac:dyDescent="0.15">
      <c r="D37" s="9">
        <v>31</v>
      </c>
      <c r="E37" s="15"/>
      <c r="F37" s="15"/>
      <c r="H37" s="11"/>
      <c r="I37" s="11"/>
      <c r="J37" s="11"/>
      <c r="K37" s="11"/>
      <c r="L37" s="11"/>
      <c r="M37" s="11"/>
      <c r="N37" s="11"/>
    </row>
    <row r="38" spans="4:14" x14ac:dyDescent="0.15">
      <c r="D38" s="10">
        <v>32</v>
      </c>
      <c r="E38" s="22"/>
      <c r="F38" s="22"/>
      <c r="H38" s="10"/>
      <c r="I38" s="10"/>
      <c r="J38" s="10"/>
      <c r="K38" s="10"/>
      <c r="L38" s="10"/>
      <c r="M38" s="10"/>
      <c r="N38" s="10"/>
    </row>
    <row r="39" spans="4:14" x14ac:dyDescent="0.15">
      <c r="D39" s="10">
        <v>33</v>
      </c>
      <c r="E39" s="22"/>
      <c r="F39" s="22"/>
      <c r="H39" s="10"/>
      <c r="I39" s="10"/>
      <c r="J39" s="10"/>
      <c r="K39" s="10"/>
      <c r="L39" s="10"/>
      <c r="M39" s="10"/>
      <c r="N39" s="10"/>
    </row>
    <row r="40" spans="4:14" x14ac:dyDescent="0.15">
      <c r="D40" s="10">
        <v>34</v>
      </c>
      <c r="E40" s="22"/>
      <c r="F40" s="22"/>
      <c r="H40" s="10"/>
      <c r="I40" s="10"/>
      <c r="J40" s="10"/>
      <c r="K40" s="10"/>
      <c r="L40" s="10"/>
      <c r="M40" s="10"/>
      <c r="N40" s="10"/>
    </row>
    <row r="41" spans="4:14" x14ac:dyDescent="0.15">
      <c r="D41" s="10">
        <v>35</v>
      </c>
      <c r="E41" s="22"/>
      <c r="F41" s="22"/>
      <c r="H41" s="10"/>
      <c r="I41" s="10"/>
      <c r="J41" s="10"/>
      <c r="K41" s="10"/>
      <c r="L41" s="10"/>
      <c r="M41" s="10"/>
      <c r="N41" s="10"/>
    </row>
    <row r="42" spans="4:14" x14ac:dyDescent="0.15">
      <c r="D42" s="10">
        <v>36</v>
      </c>
      <c r="E42" s="22"/>
      <c r="F42" s="22"/>
      <c r="H42" s="10"/>
      <c r="I42" s="10"/>
      <c r="J42" s="10"/>
      <c r="K42" s="10"/>
      <c r="L42" s="10"/>
      <c r="M42" s="10"/>
      <c r="N42" s="10"/>
    </row>
    <row r="43" spans="4:14" x14ac:dyDescent="0.15">
      <c r="D43" s="10">
        <v>37</v>
      </c>
      <c r="E43" s="22"/>
      <c r="F43" s="22"/>
      <c r="H43" s="10"/>
      <c r="I43" s="10"/>
      <c r="J43" s="10"/>
      <c r="K43" s="10"/>
      <c r="L43" s="10"/>
      <c r="M43" s="10"/>
      <c r="N43" s="10"/>
    </row>
    <row r="44" spans="4:14" x14ac:dyDescent="0.15">
      <c r="D44" s="10">
        <v>38</v>
      </c>
      <c r="E44" s="22"/>
      <c r="F44" s="22"/>
      <c r="H44" s="10"/>
      <c r="I44" s="10"/>
      <c r="J44" s="10"/>
      <c r="K44" s="10"/>
      <c r="L44" s="10"/>
      <c r="M44" s="10"/>
      <c r="N44" s="10"/>
    </row>
    <row r="45" spans="4:14" x14ac:dyDescent="0.15">
      <c r="D45" s="10">
        <v>39</v>
      </c>
      <c r="E45" s="22"/>
      <c r="F45" s="22"/>
      <c r="H45" s="10"/>
      <c r="I45" s="10"/>
      <c r="J45" s="10"/>
      <c r="K45" s="10"/>
      <c r="L45" s="10"/>
      <c r="M45" s="10"/>
      <c r="N45" s="10"/>
    </row>
    <row r="46" spans="4:14" x14ac:dyDescent="0.15">
      <c r="D46" s="6">
        <v>40</v>
      </c>
      <c r="E46" s="23"/>
      <c r="F46" s="23"/>
      <c r="H46" s="6"/>
      <c r="I46" s="6"/>
      <c r="J46" s="6"/>
      <c r="K46" s="6"/>
      <c r="L46" s="6"/>
      <c r="M46" s="6"/>
      <c r="N46" s="6"/>
    </row>
    <row r="47" spans="4:14" x14ac:dyDescent="0.15">
      <c r="H47" s="11"/>
      <c r="I47" s="11"/>
      <c r="J47" s="11"/>
      <c r="K47" s="11"/>
      <c r="L47" s="11"/>
      <c r="M47" s="11"/>
      <c r="N47" s="11"/>
    </row>
    <row r="48" spans="4:14" x14ac:dyDescent="0.15">
      <c r="H48" s="10"/>
      <c r="I48" s="10"/>
      <c r="J48" s="10"/>
      <c r="K48" s="10"/>
      <c r="L48" s="10"/>
      <c r="M48" s="10"/>
      <c r="N48" s="10"/>
    </row>
    <row r="49" spans="8:14" x14ac:dyDescent="0.15">
      <c r="H49" s="10"/>
      <c r="I49" s="10"/>
      <c r="J49" s="10"/>
      <c r="K49" s="10"/>
      <c r="L49" s="10"/>
      <c r="M49" s="10"/>
      <c r="N49" s="10"/>
    </row>
    <row r="50" spans="8:14" x14ac:dyDescent="0.15">
      <c r="H50" s="10"/>
      <c r="I50" s="10"/>
      <c r="J50" s="10"/>
      <c r="K50" s="10"/>
      <c r="L50" s="10"/>
      <c r="M50" s="10"/>
      <c r="N50" s="10"/>
    </row>
    <row r="51" spans="8:14" x14ac:dyDescent="0.15">
      <c r="H51" s="10"/>
      <c r="I51" s="10"/>
      <c r="J51" s="10"/>
      <c r="K51" s="10"/>
      <c r="L51" s="10"/>
      <c r="M51" s="10"/>
      <c r="N51" s="10"/>
    </row>
    <row r="52" spans="8:14" x14ac:dyDescent="0.15">
      <c r="H52" s="10"/>
      <c r="I52" s="10"/>
      <c r="J52" s="10"/>
      <c r="K52" s="10"/>
      <c r="L52" s="10"/>
      <c r="M52" s="10"/>
      <c r="N52" s="10"/>
    </row>
    <row r="53" spans="8:14" x14ac:dyDescent="0.15">
      <c r="H53" s="10"/>
      <c r="I53" s="10"/>
      <c r="J53" s="10"/>
      <c r="K53" s="10"/>
      <c r="L53" s="10"/>
      <c r="M53" s="10"/>
      <c r="N53" s="10"/>
    </row>
    <row r="54" spans="8:14" x14ac:dyDescent="0.15">
      <c r="H54" s="10"/>
      <c r="I54" s="10"/>
      <c r="J54" s="10"/>
      <c r="K54" s="10"/>
      <c r="L54" s="10"/>
      <c r="M54" s="10"/>
      <c r="N54" s="10"/>
    </row>
    <row r="55" spans="8:14" x14ac:dyDescent="0.15">
      <c r="H55" s="10"/>
      <c r="I55" s="10"/>
      <c r="J55" s="10"/>
      <c r="K55" s="10"/>
      <c r="L55" s="10"/>
      <c r="M55" s="10"/>
      <c r="N55" s="10"/>
    </row>
    <row r="56" spans="8:14" x14ac:dyDescent="0.15">
      <c r="H56" s="6"/>
      <c r="I56" s="6"/>
      <c r="J56" s="6"/>
      <c r="K56" s="6"/>
      <c r="L56" s="6"/>
      <c r="M56" s="6"/>
      <c r="N56" s="6"/>
    </row>
  </sheetData>
  <phoneticPr fontId="3"/>
  <dataValidations count="5">
    <dataValidation type="whole" operator="greaterThanOrEqual" allowBlank="1" showInputMessage="1" showErrorMessage="1" sqref="B11" xr:uid="{00000000-0002-0000-0000-000000000000}">
      <formula1>1</formula1>
    </dataValidation>
    <dataValidation type="whole" operator="greaterThanOrEqual" allowBlank="1" showInputMessage="1" showErrorMessage="1" promptTitle="途中経過" prompt="= 0: 出力しない_x000a_&gt;= 1: 出力する" sqref="B7" xr:uid="{00000000-0002-0000-0000-000001000000}">
      <formula1>0</formula1>
    </dataValidation>
    <dataValidation type="whole" allowBlank="1" showInputMessage="1" showErrorMessage="1" prompt="0: Lmder_x000a_1: Lmder1_x000a_2: Lmdif_x000a_3: Lmdif1_x000a_4: N2g_x000a_5: N2f" sqref="B25" xr:uid="{00000000-0002-0000-0000-000002000000}">
      <formula1>0</formula1>
      <formula2>5</formula2>
    </dataValidation>
    <dataValidation type="whole" allowBlank="1" showInputMessage="1" showErrorMessage="1" sqref="B12" xr:uid="{00000000-0002-0000-0000-000003000000}">
      <formula1>1</formula1>
      <formula2>4</formula2>
    </dataValidation>
    <dataValidation type="whole" allowBlank="1" showInputMessage="1" showErrorMessage="1" prompt="0: コールバック版_x000a_1: リバースコミュニケーション版" sqref="B26" xr:uid="{FF5A62F7-1E3C-46BD-9936-D0EDD347FD85}">
      <formula1>0</formula1>
      <formula2>1</formula2>
    </dataValidation>
  </dataValidations>
  <hyperlinks>
    <hyperlink ref="L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Start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非線形最小二乗法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Nonlinear least squares problems</dc:title>
  <dc:creator/>
  <dc:description>(C) 2014-2018 K Technologies</dc:description>
  <cp:lastModifiedBy>User</cp:lastModifiedBy>
  <dcterms:created xsi:type="dcterms:W3CDTF">2012-08-03T09:08:30Z</dcterms:created>
  <dcterms:modified xsi:type="dcterms:W3CDTF">2019-03-03T07:29:12Z</dcterms:modified>
</cp:coreProperties>
</file>
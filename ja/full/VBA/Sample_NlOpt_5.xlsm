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Work\XLPack52\XLPack\sample\Full\ja\VBA\"/>
    </mc:Choice>
  </mc:AlternateContent>
  <xr:revisionPtr revIDLastSave="0" documentId="13_ncr:1_{2FC1C910-A2A0-4249-B670-2D7FBF18A396}" xr6:coauthVersionLast="40" xr6:coauthVersionMax="40" xr10:uidLastSave="{00000000-0000-0000-0000-000000000000}"/>
  <bookViews>
    <workbookView xWindow="3105" yWindow="285" windowWidth="20865" windowHeight="15450" xr2:uid="{00000000-000D-0000-FFFF-FFFF00000000}"/>
  </bookViews>
  <sheets>
    <sheet name="1変数" sheetId="3" r:id="rId1"/>
    <sheet name="多変数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5" i="4" l="1"/>
  <c r="B17" i="4" l="1"/>
  <c r="C16" i="4"/>
  <c r="B16" i="4"/>
  <c r="C15" i="4"/>
  <c r="B14" i="4"/>
  <c r="B10" i="3" l="1"/>
</calcChain>
</file>

<file path=xl/sharedStrings.xml><?xml version="1.0" encoding="utf-8"?>
<sst xmlns="http://schemas.openxmlformats.org/spreadsheetml/2006/main" count="47" uniqueCount="45">
  <si>
    <t xml:space="preserve">x = </t>
    <phoneticPr fontId="3"/>
  </si>
  <si>
    <t xml:space="preserve">f(x) = </t>
    <phoneticPr fontId="3"/>
  </si>
  <si>
    <t>A</t>
    <phoneticPr fontId="3"/>
  </si>
  <si>
    <t>B</t>
    <phoneticPr fontId="3"/>
  </si>
  <si>
    <t xml:space="preserve">Err = </t>
    <phoneticPr fontId="3"/>
  </si>
  <si>
    <t>関数評価回数</t>
    <rPh sb="0" eb="2">
      <t>カンスウ</t>
    </rPh>
    <rPh sb="2" eb="4">
      <t>ヒョウカ</t>
    </rPh>
    <rPh sb="4" eb="6">
      <t>カイスウ</t>
    </rPh>
    <phoneticPr fontId="3"/>
  </si>
  <si>
    <t xml:space="preserve">N = </t>
    <phoneticPr fontId="3"/>
  </si>
  <si>
    <t xml:space="preserve">Err = </t>
    <phoneticPr fontId="3"/>
  </si>
  <si>
    <t>x1</t>
    <phoneticPr fontId="3"/>
  </si>
  <si>
    <t>x2</t>
    <phoneticPr fontId="3"/>
  </si>
  <si>
    <t>x3</t>
    <phoneticPr fontId="3"/>
  </si>
  <si>
    <t>x4</t>
    <phoneticPr fontId="3"/>
  </si>
  <si>
    <t>例:</t>
    <rPh sb="0" eb="1">
      <t>レイ</t>
    </rPh>
    <phoneticPr fontId="3"/>
  </si>
  <si>
    <t xml:space="preserve">リターンコード = </t>
    <phoneticPr fontId="3"/>
  </si>
  <si>
    <t xml:space="preserve">途中経過 = </t>
    <rPh sb="0" eb="2">
      <t>トチュウ</t>
    </rPh>
    <rPh sb="2" eb="4">
      <t>ケイカ</t>
    </rPh>
    <phoneticPr fontId="3"/>
  </si>
  <si>
    <t>ゼロ点 X</t>
    <rPh sb="2" eb="3">
      <t>テン</t>
    </rPh>
    <phoneticPr fontId="3"/>
  </si>
  <si>
    <t>パラメータおよび計算結果</t>
    <rPh sb="8" eb="10">
      <t>ケイサン</t>
    </rPh>
    <rPh sb="10" eb="12">
      <t>ケッカ</t>
    </rPh>
    <phoneticPr fontId="3"/>
  </si>
  <si>
    <t>例. f(x) = x^3 - 2*x - 5</t>
    <rPh sb="0" eb="1">
      <t>レイ</t>
    </rPh>
    <phoneticPr fontId="3"/>
  </si>
  <si>
    <t>方程式の定義</t>
    <rPh sb="0" eb="3">
      <t>ホウテイシキ</t>
    </rPh>
    <rPh sb="4" eb="6">
      <t>テイギ</t>
    </rPh>
    <phoneticPr fontId="3"/>
  </si>
  <si>
    <t>パラメータ</t>
    <phoneticPr fontId="3"/>
  </si>
  <si>
    <t>使用プログラム</t>
    <rPh sb="0" eb="2">
      <t>シヨウ</t>
    </rPh>
    <phoneticPr fontId="3"/>
  </si>
  <si>
    <t xml:space="preserve">Prog = </t>
    <phoneticPr fontId="3"/>
  </si>
  <si>
    <t xml:space="preserve">xi = </t>
    <phoneticPr fontId="3"/>
  </si>
  <si>
    <t>初期推定値 -&gt;</t>
    <rPh sb="0" eb="2">
      <t>ショキ</t>
    </rPh>
    <rPh sb="2" eb="5">
      <t>スイテイチ</t>
    </rPh>
    <phoneticPr fontId="3"/>
  </si>
  <si>
    <t>Fun</t>
    <phoneticPr fontId="3"/>
  </si>
  <si>
    <t>非線形最適化 (1変数)</t>
    <rPh sb="0" eb="3">
      <t>ヒセンケイ</t>
    </rPh>
    <rPh sb="3" eb="6">
      <t>サイテキカ</t>
    </rPh>
    <rPh sb="9" eb="11">
      <t>ヘンスウ</t>
    </rPh>
    <phoneticPr fontId="3"/>
  </si>
  <si>
    <t>非線形最適化 (多変数)</t>
    <rPh sb="0" eb="3">
      <t>ヒセンケイ</t>
    </rPh>
    <rPh sb="3" eb="6">
      <t>サイテキカ</t>
    </rPh>
    <rPh sb="8" eb="9">
      <t>タ</t>
    </rPh>
    <rPh sb="9" eb="11">
      <t>ヘンスウ</t>
    </rPh>
    <phoneticPr fontId="3"/>
  </si>
  <si>
    <t xml:space="preserve">f(x) = </t>
    <phoneticPr fontId="3"/>
  </si>
  <si>
    <t xml:space="preserve">  f(x) = 100*(x2-x1^2)^2+(1-x1)^2</t>
    <phoneticPr fontId="3"/>
  </si>
  <si>
    <t xml:space="preserve">  (Rosenbrock function)</t>
    <phoneticPr fontId="3"/>
  </si>
  <si>
    <t xml:space="preserve">df(x)/dxi = </t>
    <phoneticPr fontId="3"/>
  </si>
  <si>
    <t xml:space="preserve">d2f(x)/dx1dxj = </t>
    <phoneticPr fontId="3"/>
  </si>
  <si>
    <t xml:space="preserve">d2f(x)/dx2dxj = </t>
    <phoneticPr fontId="3"/>
  </si>
  <si>
    <t xml:space="preserve">d2f(x)/dx3dxj = </t>
    <phoneticPr fontId="3"/>
  </si>
  <si>
    <t xml:space="preserve">d2f(x)/dx4dxj = </t>
    <phoneticPr fontId="3"/>
  </si>
  <si>
    <t xml:space="preserve">i または j = </t>
    <phoneticPr fontId="3"/>
  </si>
  <si>
    <t>Hes</t>
    <phoneticPr fontId="3"/>
  </si>
  <si>
    <t>dFun</t>
    <phoneticPr fontId="3"/>
  </si>
  <si>
    <t>f(x)</t>
    <phoneticPr fontId="3"/>
  </si>
  <si>
    <t>(注) Mng, Mnh以外では微分係数(df(x)/dxi)は不要</t>
    <rPh sb="1" eb="2">
      <t>チュウ</t>
    </rPh>
    <rPh sb="12" eb="14">
      <t>イガイ</t>
    </rPh>
    <rPh sb="16" eb="18">
      <t>ビブン</t>
    </rPh>
    <rPh sb="18" eb="20">
      <t>ケイスウ</t>
    </rPh>
    <rPh sb="32" eb="34">
      <t>フヨウ</t>
    </rPh>
    <phoneticPr fontId="3"/>
  </si>
  <si>
    <t>(注) Mnh以外ではヘッセ行列(d2f(x)/dxidxj)は不要</t>
    <rPh sb="1" eb="2">
      <t>チュウ</t>
    </rPh>
    <rPh sb="7" eb="9">
      <t>イガイ</t>
    </rPh>
    <rPh sb="14" eb="16">
      <t>ギョウレツ</t>
    </rPh>
    <rPh sb="32" eb="34">
      <t>フヨウ</t>
    </rPh>
    <phoneticPr fontId="3"/>
  </si>
  <si>
    <t xml:space="preserve">RevCom = </t>
    <phoneticPr fontId="3"/>
  </si>
  <si>
    <t xml:space="preserve">Revcom = </t>
    <phoneticPr fontId="3"/>
  </si>
  <si>
    <t>Dfmin</t>
    <phoneticPr fontId="3"/>
  </si>
  <si>
    <t>Mng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</si>
</sst>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1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6337778862885"/>
        <bgColor indexed="64"/>
      </patternFill>
    </fill>
    <fill>
      <patternFill patternType="solid">
        <fgColor theme="0" tint="-0.14996795556505021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0" borderId="1" xfId="0" applyBorder="1" applyAlignment="1">
      <alignment horizontal="right" vertical="center"/>
    </xf>
    <xf numFmtId="0" fontId="0" fillId="2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11" fontId="0" fillId="2" borderId="1" xfId="0" applyNumberFormat="1" applyFill="1" applyBorder="1">
      <alignment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6" xfId="0" applyFill="1" applyBorder="1">
      <alignment vertical="center"/>
    </xf>
    <xf numFmtId="0" fontId="0" fillId="2" borderId="7" xfId="0" applyFill="1" applyBorder="1">
      <alignment vertical="center"/>
    </xf>
    <xf numFmtId="0" fontId="0" fillId="0" borderId="2" xfId="0" applyBorder="1">
      <alignment vertical="center"/>
    </xf>
    <xf numFmtId="0" fontId="0" fillId="2" borderId="8" xfId="0" applyFill="1" applyBorder="1">
      <alignment vertical="center"/>
    </xf>
    <xf numFmtId="0" fontId="0" fillId="2" borderId="9" xfId="0" applyFill="1" applyBorder="1">
      <alignment vertical="center"/>
    </xf>
    <xf numFmtId="0" fontId="0" fillId="0" borderId="10" xfId="0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0" fillId="2" borderId="14" xfId="0" applyFill="1" applyBorder="1">
      <alignment vertical="center"/>
    </xf>
    <xf numFmtId="0" fontId="0" fillId="0" borderId="15" xfId="0" applyBorder="1">
      <alignment vertical="center"/>
    </xf>
    <xf numFmtId="0" fontId="0" fillId="0" borderId="2" xfId="0" applyBorder="1" applyAlignment="1">
      <alignment horizontal="right" vertical="center"/>
    </xf>
    <xf numFmtId="0" fontId="0" fillId="0" borderId="10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2" borderId="2" xfId="0" applyFill="1" applyBorder="1">
      <alignment vertical="center"/>
    </xf>
    <xf numFmtId="0" fontId="0" fillId="0" borderId="0" xfId="0" applyAlignment="1">
      <alignment horizontal="left" vertical="center"/>
    </xf>
    <xf numFmtId="0" fontId="0" fillId="0" borderId="16" xfId="0" applyBorder="1" applyAlignment="1">
      <alignment horizontal="right" vertical="center"/>
    </xf>
    <xf numFmtId="0" fontId="0" fillId="2" borderId="16" xfId="0" applyFill="1" applyBorder="1">
      <alignment vertical="center"/>
    </xf>
    <xf numFmtId="0" fontId="0" fillId="0" borderId="4" xfId="0" applyBorder="1">
      <alignment vertical="center"/>
    </xf>
    <xf numFmtId="0" fontId="0" fillId="0" borderId="17" xfId="0" applyBorder="1">
      <alignment vertical="center"/>
    </xf>
    <xf numFmtId="0" fontId="0" fillId="0" borderId="5" xfId="0" applyBorder="1">
      <alignment vertical="center"/>
    </xf>
    <xf numFmtId="0" fontId="0" fillId="2" borderId="18" xfId="0" applyFill="1" applyBorder="1">
      <alignment vertical="center"/>
    </xf>
    <xf numFmtId="0" fontId="0" fillId="2" borderId="1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4" xfId="0" applyFill="1" applyBorder="1">
      <alignment vertical="center"/>
    </xf>
    <xf numFmtId="0" fontId="0" fillId="2" borderId="17" xfId="0" applyFill="1" applyBorder="1">
      <alignment vertical="center"/>
    </xf>
    <xf numFmtId="0" fontId="0" fillId="2" borderId="5" xfId="0" applyFill="1" applyBorder="1">
      <alignment vertical="center"/>
    </xf>
    <xf numFmtId="0" fontId="0" fillId="0" borderId="21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1</xdr:row>
          <xdr:rowOff>161925</xdr:rowOff>
        </xdr:from>
        <xdr:to>
          <xdr:col>3</xdr:col>
          <xdr:colOff>1085850</xdr:colOff>
          <xdr:row>3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847725</xdr:colOff>
          <xdr:row>2</xdr:row>
          <xdr:rowOff>0</xdr:rowOff>
        </xdr:from>
        <xdr:to>
          <xdr:col>3</xdr:col>
          <xdr:colOff>952500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2</xdr:col>
          <xdr:colOff>0</xdr:colOff>
          <xdr:row>3</xdr:row>
          <xdr:rowOff>9525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G26"/>
  <sheetViews>
    <sheetView tabSelected="1" workbookViewId="0"/>
  </sheetViews>
  <sheetFormatPr defaultRowHeight="13.5" x14ac:dyDescent="0.15"/>
  <cols>
    <col min="1" max="1" width="13.375" customWidth="1"/>
    <col min="2" max="2" width="13.75" customWidth="1"/>
    <col min="3" max="3" width="11.25" customWidth="1"/>
    <col min="4" max="5" width="14.375" customWidth="1"/>
    <col min="6" max="6" width="12.625" customWidth="1"/>
    <col min="7" max="7" width="14.375" customWidth="1"/>
  </cols>
  <sheetData>
    <row r="1" spans="1:7" x14ac:dyDescent="0.15">
      <c r="A1" s="1" t="s">
        <v>25</v>
      </c>
    </row>
    <row r="2" spans="1:7" x14ac:dyDescent="0.15">
      <c r="A2" s="1"/>
    </row>
    <row r="3" spans="1:7" x14ac:dyDescent="0.15">
      <c r="A3" s="2"/>
      <c r="F3" t="s">
        <v>17</v>
      </c>
    </row>
    <row r="5" spans="1:7" x14ac:dyDescent="0.15">
      <c r="A5" t="s">
        <v>19</v>
      </c>
      <c r="D5" t="s">
        <v>43</v>
      </c>
    </row>
    <row r="6" spans="1:7" x14ac:dyDescent="0.15">
      <c r="A6" s="4" t="s">
        <v>4</v>
      </c>
      <c r="B6" s="8">
        <v>1E-10</v>
      </c>
      <c r="D6" s="9" t="s">
        <v>2</v>
      </c>
      <c r="E6" s="10" t="s">
        <v>3</v>
      </c>
      <c r="F6" s="11" t="s">
        <v>5</v>
      </c>
      <c r="G6" s="11" t="s">
        <v>15</v>
      </c>
    </row>
    <row r="7" spans="1:7" x14ac:dyDescent="0.15">
      <c r="C7" s="3"/>
      <c r="D7" s="12">
        <v>0</v>
      </c>
      <c r="E7" s="13">
        <v>1.5</v>
      </c>
      <c r="F7" s="14">
        <v>11</v>
      </c>
      <c r="G7" s="14">
        <v>0.81649658819445714</v>
      </c>
    </row>
    <row r="8" spans="1:7" x14ac:dyDescent="0.15">
      <c r="A8" t="s">
        <v>18</v>
      </c>
      <c r="D8" s="15">
        <v>0</v>
      </c>
      <c r="E8" s="16">
        <v>10</v>
      </c>
      <c r="F8" s="17">
        <v>15</v>
      </c>
      <c r="G8" s="17">
        <v>0.81649657263602626</v>
      </c>
    </row>
    <row r="9" spans="1:7" x14ac:dyDescent="0.15">
      <c r="A9" s="4" t="s">
        <v>0</v>
      </c>
      <c r="B9" s="6">
        <v>0.81649656377356528</v>
      </c>
      <c r="D9" s="15">
        <v>0</v>
      </c>
      <c r="E9" s="16">
        <v>100</v>
      </c>
      <c r="F9" s="17">
        <v>23</v>
      </c>
      <c r="G9" s="17">
        <v>0.816496572410088</v>
      </c>
    </row>
    <row r="10" spans="1:7" x14ac:dyDescent="0.15">
      <c r="A10" s="4" t="s">
        <v>1</v>
      </c>
      <c r="B10" s="5">
        <f>B9^3 -2*B9-5</f>
        <v>-6.0886621079036338</v>
      </c>
      <c r="D10" s="15"/>
      <c r="E10" s="16"/>
      <c r="F10" s="17"/>
      <c r="G10" s="17"/>
    </row>
    <row r="11" spans="1:7" x14ac:dyDescent="0.15">
      <c r="D11" s="15"/>
      <c r="E11" s="16"/>
      <c r="F11" s="17"/>
      <c r="G11" s="17"/>
    </row>
    <row r="12" spans="1:7" x14ac:dyDescent="0.15">
      <c r="A12" s="27" t="s">
        <v>20</v>
      </c>
      <c r="D12" s="15"/>
      <c r="E12" s="16"/>
      <c r="F12" s="17"/>
      <c r="G12" s="17"/>
    </row>
    <row r="13" spans="1:7" x14ac:dyDescent="0.15">
      <c r="A13" s="4" t="s">
        <v>41</v>
      </c>
      <c r="B13" s="5">
        <v>0</v>
      </c>
      <c r="D13" s="15"/>
      <c r="E13" s="16"/>
      <c r="F13" s="17"/>
      <c r="G13" s="17"/>
    </row>
    <row r="14" spans="1:7" x14ac:dyDescent="0.15">
      <c r="D14" s="15"/>
      <c r="E14" s="16"/>
      <c r="F14" s="17"/>
      <c r="G14" s="17"/>
    </row>
    <row r="15" spans="1:7" x14ac:dyDescent="0.15">
      <c r="D15" s="15"/>
      <c r="E15" s="16"/>
      <c r="F15" s="17"/>
      <c r="G15" s="17"/>
    </row>
    <row r="16" spans="1:7" x14ac:dyDescent="0.15">
      <c r="D16" s="18"/>
      <c r="E16" s="19"/>
      <c r="F16" s="7"/>
      <c r="G16" s="7"/>
    </row>
    <row r="17" spans="4:7" x14ac:dyDescent="0.15">
      <c r="D17" s="20"/>
      <c r="E17" s="21"/>
      <c r="F17" s="22"/>
      <c r="G17" s="22"/>
    </row>
    <row r="18" spans="4:7" x14ac:dyDescent="0.15">
      <c r="D18" s="15"/>
      <c r="E18" s="16"/>
      <c r="F18" s="17"/>
      <c r="G18" s="17"/>
    </row>
    <row r="19" spans="4:7" x14ac:dyDescent="0.15">
      <c r="D19" s="15"/>
      <c r="E19" s="16"/>
      <c r="F19" s="17"/>
      <c r="G19" s="17"/>
    </row>
    <row r="20" spans="4:7" x14ac:dyDescent="0.15">
      <c r="D20" s="15"/>
      <c r="E20" s="16"/>
      <c r="F20" s="17"/>
      <c r="G20" s="17"/>
    </row>
    <row r="21" spans="4:7" x14ac:dyDescent="0.15">
      <c r="D21" s="15"/>
      <c r="E21" s="16"/>
      <c r="F21" s="17"/>
      <c r="G21" s="17"/>
    </row>
    <row r="22" spans="4:7" x14ac:dyDescent="0.15">
      <c r="D22" s="15"/>
      <c r="E22" s="16"/>
      <c r="F22" s="17"/>
      <c r="G22" s="17"/>
    </row>
    <row r="23" spans="4:7" x14ac:dyDescent="0.15">
      <c r="D23" s="15"/>
      <c r="E23" s="16"/>
      <c r="F23" s="17"/>
      <c r="G23" s="17"/>
    </row>
    <row r="24" spans="4:7" x14ac:dyDescent="0.15">
      <c r="D24" s="15"/>
      <c r="E24" s="16"/>
      <c r="F24" s="17"/>
      <c r="G24" s="17"/>
    </row>
    <row r="25" spans="4:7" x14ac:dyDescent="0.15">
      <c r="D25" s="15"/>
      <c r="E25" s="16"/>
      <c r="F25" s="17"/>
      <c r="G25" s="17"/>
    </row>
    <row r="26" spans="4:7" x14ac:dyDescent="0.15">
      <c r="D26" s="18"/>
      <c r="E26" s="19"/>
      <c r="F26" s="7"/>
      <c r="G26" s="7"/>
    </row>
  </sheetData>
  <phoneticPr fontId="3"/>
  <dataValidations count="1">
    <dataValidation type="whole" allowBlank="1" showInputMessage="1" showErrorMessage="1" prompt="0: コールバック版_x000a_1: リバースコミュニケーション版" sqref="B13" xr:uid="{33EF8BD1-93BB-4838-98CB-D6D47BDFF6AB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lear_1">
                <anchor moveWithCells="1" sizeWithCells="1">
                  <from>
                    <xdr:col>2</xdr:col>
                    <xdr:colOff>847725</xdr:colOff>
                    <xdr:row>1</xdr:row>
                    <xdr:rowOff>161925</xdr:rowOff>
                  </from>
                  <to>
                    <xdr:col>3</xdr:col>
                    <xdr:colOff>1085850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tart_1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56"/>
  <sheetViews>
    <sheetView workbookViewId="0"/>
  </sheetViews>
  <sheetFormatPr defaultRowHeight="13.5" x14ac:dyDescent="0.15"/>
  <cols>
    <col min="1" max="1" width="14.625" customWidth="1"/>
    <col min="2" max="5" width="10.625" customWidth="1"/>
    <col min="6" max="6" width="4.625" customWidth="1"/>
    <col min="7" max="9" width="5.625" customWidth="1"/>
    <col min="10" max="14" width="11.625" customWidth="1"/>
  </cols>
  <sheetData>
    <row r="1" spans="1:15" x14ac:dyDescent="0.15">
      <c r="A1" s="1" t="s">
        <v>26</v>
      </c>
    </row>
    <row r="2" spans="1:15" x14ac:dyDescent="0.15">
      <c r="A2" s="1"/>
      <c r="H2" t="s">
        <v>12</v>
      </c>
    </row>
    <row r="3" spans="1:15" x14ac:dyDescent="0.15">
      <c r="A3" s="2"/>
      <c r="H3" s="27" t="s">
        <v>28</v>
      </c>
      <c r="I3" s="27"/>
      <c r="J3" s="27"/>
    </row>
    <row r="4" spans="1:15" x14ac:dyDescent="0.15">
      <c r="H4" t="s">
        <v>29</v>
      </c>
    </row>
    <row r="5" spans="1:15" x14ac:dyDescent="0.15">
      <c r="A5" t="s">
        <v>16</v>
      </c>
      <c r="G5" t="s">
        <v>44</v>
      </c>
    </row>
    <row r="6" spans="1:15" x14ac:dyDescent="0.15">
      <c r="A6" s="4" t="s">
        <v>7</v>
      </c>
      <c r="B6" s="8">
        <v>1E-10</v>
      </c>
      <c r="G6" s="11" t="s">
        <v>24</v>
      </c>
      <c r="H6" s="11" t="s">
        <v>37</v>
      </c>
      <c r="I6" s="11" t="s">
        <v>36</v>
      </c>
      <c r="J6" s="11" t="s">
        <v>38</v>
      </c>
      <c r="K6" s="11" t="s">
        <v>8</v>
      </c>
      <c r="L6" s="11" t="s">
        <v>9</v>
      </c>
      <c r="M6" s="11" t="s">
        <v>10</v>
      </c>
      <c r="N6" s="11" t="s">
        <v>11</v>
      </c>
    </row>
    <row r="7" spans="1:15" x14ac:dyDescent="0.15">
      <c r="A7" s="4" t="s">
        <v>14</v>
      </c>
      <c r="B7" s="5">
        <v>1</v>
      </c>
      <c r="C7" s="3"/>
      <c r="F7" s="3" t="s">
        <v>23</v>
      </c>
      <c r="G7" s="14"/>
      <c r="H7" s="14"/>
      <c r="I7" s="14"/>
      <c r="J7" s="14"/>
      <c r="K7" s="26">
        <v>-1.2</v>
      </c>
      <c r="L7" s="26">
        <v>1</v>
      </c>
      <c r="M7" s="26"/>
      <c r="N7" s="26"/>
    </row>
    <row r="8" spans="1:15" x14ac:dyDescent="0.15">
      <c r="A8" s="4" t="s">
        <v>13</v>
      </c>
      <c r="B8" s="6">
        <v>0</v>
      </c>
      <c r="G8" s="17">
        <v>1</v>
      </c>
      <c r="H8" s="17">
        <v>0</v>
      </c>
      <c r="I8" s="17">
        <v>0</v>
      </c>
      <c r="J8" s="17">
        <v>24.199999999999996</v>
      </c>
      <c r="K8" s="17">
        <v>-1.2</v>
      </c>
      <c r="L8" s="17">
        <v>1</v>
      </c>
      <c r="M8" s="17"/>
      <c r="N8" s="17"/>
    </row>
    <row r="9" spans="1:15" x14ac:dyDescent="0.15">
      <c r="G9" s="17">
        <v>2</v>
      </c>
      <c r="H9" s="17">
        <v>1</v>
      </c>
      <c r="I9" s="17">
        <v>0</v>
      </c>
      <c r="J9" s="17">
        <v>171.33595917774784</v>
      </c>
      <c r="K9" s="17">
        <v>-0.27415235630480139</v>
      </c>
      <c r="L9" s="17">
        <v>1.3778969974266118</v>
      </c>
      <c r="M9" s="17"/>
      <c r="N9" s="17"/>
    </row>
    <row r="10" spans="1:15" x14ac:dyDescent="0.15">
      <c r="A10" t="s">
        <v>18</v>
      </c>
      <c r="G10" s="17">
        <v>3</v>
      </c>
      <c r="H10" s="17">
        <v>1</v>
      </c>
      <c r="I10" s="17">
        <v>0</v>
      </c>
      <c r="J10" s="17">
        <v>11.298089684996789</v>
      </c>
      <c r="K10" s="17">
        <v>-0.91631851201865544</v>
      </c>
      <c r="L10" s="17">
        <v>1.1157883624413651</v>
      </c>
      <c r="M10" s="17"/>
      <c r="N10" s="17"/>
    </row>
    <row r="11" spans="1:15" x14ac:dyDescent="0.15">
      <c r="A11" s="28" t="s">
        <v>6</v>
      </c>
      <c r="B11" s="29">
        <v>2</v>
      </c>
      <c r="G11" s="17">
        <v>4</v>
      </c>
      <c r="H11" s="17">
        <v>2</v>
      </c>
      <c r="I11" s="17">
        <v>0</v>
      </c>
      <c r="J11" s="17">
        <v>3.6832653339395551</v>
      </c>
      <c r="K11" s="17">
        <v>-0.87897099646228438</v>
      </c>
      <c r="L11" s="17">
        <v>0.81167112422240262</v>
      </c>
      <c r="M11" s="17"/>
      <c r="N11" s="17"/>
    </row>
    <row r="12" spans="1:15" x14ac:dyDescent="0.15">
      <c r="A12" s="4" t="s">
        <v>35</v>
      </c>
      <c r="B12" s="30">
        <v>1</v>
      </c>
      <c r="C12" s="31">
        <v>2</v>
      </c>
      <c r="D12" s="31">
        <v>3</v>
      </c>
      <c r="E12" s="32">
        <v>4</v>
      </c>
      <c r="G12" s="17">
        <v>5</v>
      </c>
      <c r="H12" s="17">
        <v>3</v>
      </c>
      <c r="I12" s="17">
        <v>0</v>
      </c>
      <c r="J12" s="17">
        <v>3.0264110594758216</v>
      </c>
      <c r="K12" s="17">
        <v>-0.738569360837807</v>
      </c>
      <c r="L12" s="17">
        <v>0.53933032262606795</v>
      </c>
      <c r="M12" s="17"/>
      <c r="N12" s="17"/>
    </row>
    <row r="13" spans="1:15" x14ac:dyDescent="0.15">
      <c r="A13" s="4" t="s">
        <v>22</v>
      </c>
      <c r="B13" s="30">
        <v>0.99999999998644773</v>
      </c>
      <c r="C13" s="31">
        <v>0.99999999997132816</v>
      </c>
      <c r="D13" s="31"/>
      <c r="E13" s="32"/>
      <c r="G13" s="17">
        <v>6</v>
      </c>
      <c r="H13" s="17">
        <v>3</v>
      </c>
      <c r="I13" s="17">
        <v>0</v>
      </c>
      <c r="J13" s="17">
        <v>15.319896799648243</v>
      </c>
      <c r="K13" s="17">
        <v>-0.3090412815098601</v>
      </c>
      <c r="L13" s="17">
        <v>-0.27336077577724716</v>
      </c>
      <c r="M13" s="17"/>
      <c r="N13" s="17"/>
      <c r="O13" s="39"/>
    </row>
    <row r="14" spans="1:15" x14ac:dyDescent="0.15">
      <c r="A14" s="28" t="s">
        <v>27</v>
      </c>
      <c r="B14" s="29">
        <f>100*(C13-B13^2)^2+(1-B13)^2</f>
        <v>4.2930754043308101E-22</v>
      </c>
      <c r="G14" s="17">
        <v>7</v>
      </c>
      <c r="H14" s="17">
        <v>4</v>
      </c>
      <c r="I14" s="17">
        <v>0</v>
      </c>
      <c r="J14" s="17">
        <v>3.0710164532742574</v>
      </c>
      <c r="K14" s="17">
        <v>-0.58843261723978346</v>
      </c>
      <c r="L14" s="17">
        <v>0.27223279414266172</v>
      </c>
      <c r="M14" s="17"/>
      <c r="N14" s="17"/>
    </row>
    <row r="15" spans="1:15" x14ac:dyDescent="0.15">
      <c r="A15" s="4" t="s">
        <v>30</v>
      </c>
      <c r="B15" s="36">
        <f>-400*B13*(C13-B13^2)+2*B13-2</f>
        <v>5.9981619671134467E-10</v>
      </c>
      <c r="C15" s="37">
        <f>200*C13-200*B13^2</f>
        <v>-3.134630333079258E-10</v>
      </c>
      <c r="D15" s="37"/>
      <c r="E15" s="38"/>
      <c r="G15" s="17">
        <v>8</v>
      </c>
      <c r="H15" s="17">
        <v>4</v>
      </c>
      <c r="I15" s="17">
        <v>0</v>
      </c>
      <c r="J15" s="17">
        <v>2.8738709794866595</v>
      </c>
      <c r="K15" s="17">
        <v>-0.66907987692370641</v>
      </c>
      <c r="L15" s="17">
        <v>0.41799578303646934</v>
      </c>
      <c r="M15" s="17"/>
      <c r="N15" s="17"/>
    </row>
    <row r="16" spans="1:15" x14ac:dyDescent="0.15">
      <c r="A16" s="23" t="s">
        <v>31</v>
      </c>
      <c r="B16" s="12">
        <f>1200*B13^2-400*C13+2</f>
        <v>801.99999997894338</v>
      </c>
      <c r="C16" s="33">
        <f>-400*B13</f>
        <v>-399.99999999457907</v>
      </c>
      <c r="D16" s="33"/>
      <c r="E16" s="13"/>
      <c r="G16" s="7">
        <v>9</v>
      </c>
      <c r="H16" s="7">
        <v>5</v>
      </c>
      <c r="I16" s="7">
        <v>0</v>
      </c>
      <c r="J16" s="7">
        <v>2.7399460878355306</v>
      </c>
      <c r="K16" s="7">
        <v>-0.59653577419946791</v>
      </c>
      <c r="L16" s="7">
        <v>0.31214913971849806</v>
      </c>
      <c r="M16" s="7"/>
      <c r="N16" s="7"/>
    </row>
    <row r="17" spans="1:14" x14ac:dyDescent="0.15">
      <c r="A17" s="24" t="s">
        <v>32</v>
      </c>
      <c r="B17" s="15">
        <f>-400*B13</f>
        <v>-399.99999999457907</v>
      </c>
      <c r="C17" s="34">
        <v>200</v>
      </c>
      <c r="D17" s="34"/>
      <c r="E17" s="16"/>
      <c r="G17" s="22">
        <v>10</v>
      </c>
      <c r="H17" s="22">
        <v>6</v>
      </c>
      <c r="I17" s="22">
        <v>0</v>
      </c>
      <c r="J17" s="22">
        <v>2.4721419979677419</v>
      </c>
      <c r="K17" s="22">
        <v>-0.51226659457324675</v>
      </c>
      <c r="L17" s="22">
        <v>0.21938315346059195</v>
      </c>
      <c r="M17" s="22"/>
      <c r="N17" s="22"/>
    </row>
    <row r="18" spans="1:14" x14ac:dyDescent="0.15">
      <c r="A18" s="24" t="s">
        <v>33</v>
      </c>
      <c r="B18" s="15"/>
      <c r="C18" s="34"/>
      <c r="D18" s="34"/>
      <c r="E18" s="16"/>
      <c r="G18" s="17">
        <v>11</v>
      </c>
      <c r="H18" s="17">
        <v>7</v>
      </c>
      <c r="I18" s="17">
        <v>0</v>
      </c>
      <c r="J18" s="17">
        <v>1.9715169826809156</v>
      </c>
      <c r="K18" s="17">
        <v>-0.39401876154588666</v>
      </c>
      <c r="L18" s="17">
        <v>0.13844939309735627</v>
      </c>
      <c r="M18" s="17"/>
      <c r="N18" s="17"/>
    </row>
    <row r="19" spans="1:14" x14ac:dyDescent="0.15">
      <c r="A19" s="25" t="s">
        <v>34</v>
      </c>
      <c r="B19" s="18"/>
      <c r="C19" s="35"/>
      <c r="D19" s="35"/>
      <c r="E19" s="19"/>
      <c r="G19" s="17">
        <v>12</v>
      </c>
      <c r="H19" s="17">
        <v>8</v>
      </c>
      <c r="I19" s="17">
        <v>0</v>
      </c>
      <c r="J19" s="17">
        <v>1.7942339885240828</v>
      </c>
      <c r="K19" s="17">
        <v>-0.28598814012673035</v>
      </c>
      <c r="L19" s="17">
        <v>4.4310089838881753E-2</v>
      </c>
      <c r="M19" s="17"/>
      <c r="N19" s="17"/>
    </row>
    <row r="20" spans="1:14" x14ac:dyDescent="0.15">
      <c r="G20" s="17">
        <v>13</v>
      </c>
      <c r="H20" s="17">
        <v>9</v>
      </c>
      <c r="I20" s="17">
        <v>0</v>
      </c>
      <c r="J20" s="17">
        <v>1.4393081002514374</v>
      </c>
      <c r="K20" s="17">
        <v>-0.1532219135239804</v>
      </c>
      <c r="L20" s="17">
        <v>-9.5967989219004762E-3</v>
      </c>
      <c r="M20" s="17"/>
      <c r="N20" s="17"/>
    </row>
    <row r="21" spans="1:14" x14ac:dyDescent="0.15">
      <c r="A21" s="27" t="s">
        <v>20</v>
      </c>
      <c r="G21" s="17">
        <v>14</v>
      </c>
      <c r="H21" s="17">
        <v>10</v>
      </c>
      <c r="I21" s="17">
        <v>0</v>
      </c>
      <c r="J21" s="17">
        <v>1.1968650000717205</v>
      </c>
      <c r="K21" s="17">
        <v>-7.8513896100543559E-2</v>
      </c>
      <c r="L21" s="17">
        <v>2.4514575201784017E-2</v>
      </c>
      <c r="M21" s="17"/>
      <c r="N21" s="17"/>
    </row>
    <row r="22" spans="1:14" x14ac:dyDescent="0.15">
      <c r="A22" s="4" t="s">
        <v>21</v>
      </c>
      <c r="B22" s="5">
        <v>2</v>
      </c>
      <c r="G22" s="17">
        <v>15</v>
      </c>
      <c r="H22" s="17">
        <v>11</v>
      </c>
      <c r="I22" s="17">
        <v>0</v>
      </c>
      <c r="J22" s="17">
        <v>1.0016961147471832</v>
      </c>
      <c r="K22" s="17">
        <v>-6.9634923558810347E-4</v>
      </c>
      <c r="L22" s="17">
        <v>-1.7400074813777242E-3</v>
      </c>
      <c r="M22" s="17"/>
      <c r="N22" s="17"/>
    </row>
    <row r="23" spans="1:14" x14ac:dyDescent="0.15">
      <c r="A23" s="4" t="s">
        <v>42</v>
      </c>
      <c r="B23" s="5">
        <v>0</v>
      </c>
      <c r="G23" s="17">
        <v>16</v>
      </c>
      <c r="H23" s="17">
        <v>11</v>
      </c>
      <c r="I23" s="17">
        <v>0</v>
      </c>
      <c r="J23" s="17">
        <v>1.9724893770867529</v>
      </c>
      <c r="K23" s="17">
        <v>0.23865220292083322</v>
      </c>
      <c r="L23" s="17">
        <v>-6.1063722413361679E-2</v>
      </c>
      <c r="M23" s="17"/>
      <c r="N23" s="17"/>
    </row>
    <row r="24" spans="1:14" x14ac:dyDescent="0.15">
      <c r="G24" s="17">
        <v>17</v>
      </c>
      <c r="H24" s="17">
        <v>12</v>
      </c>
      <c r="I24" s="17">
        <v>0</v>
      </c>
      <c r="J24" s="17">
        <v>0.87823307487359115</v>
      </c>
      <c r="K24" s="17">
        <v>8.0821203900707642E-2</v>
      </c>
      <c r="L24" s="17">
        <v>-1.1728112537779388E-2</v>
      </c>
      <c r="M24" s="17"/>
      <c r="N24" s="17"/>
    </row>
    <row r="25" spans="1:14" x14ac:dyDescent="0.15">
      <c r="A25" t="s">
        <v>39</v>
      </c>
      <c r="G25" s="17">
        <v>18</v>
      </c>
      <c r="H25" s="17">
        <v>12</v>
      </c>
      <c r="I25" s="17">
        <v>0</v>
      </c>
      <c r="J25" s="17">
        <v>1.1333169189696239</v>
      </c>
      <c r="K25" s="17">
        <v>0.17691609593632573</v>
      </c>
      <c r="L25" s="17">
        <v>-3.6217345229604715E-2</v>
      </c>
      <c r="M25" s="17"/>
      <c r="N25" s="17"/>
    </row>
    <row r="26" spans="1:14" x14ac:dyDescent="0.15">
      <c r="A26" t="s">
        <v>40</v>
      </c>
      <c r="G26" s="7">
        <v>19</v>
      </c>
      <c r="H26" s="7">
        <v>13</v>
      </c>
      <c r="I26" s="7">
        <v>0</v>
      </c>
      <c r="J26" s="7">
        <v>0.80844393201136322</v>
      </c>
      <c r="K26" s="7">
        <v>0.16276825439050457</v>
      </c>
      <c r="L26" s="7">
        <v>-6.2916957059692968E-3</v>
      </c>
      <c r="M26" s="7"/>
      <c r="N26" s="7"/>
    </row>
    <row r="27" spans="1:14" x14ac:dyDescent="0.15">
      <c r="G27" s="22">
        <v>20</v>
      </c>
      <c r="H27" s="22">
        <v>14</v>
      </c>
      <c r="I27" s="22">
        <v>0</v>
      </c>
      <c r="J27" s="22">
        <v>0.68863013793109429</v>
      </c>
      <c r="K27" s="22">
        <v>0.20304510469887732</v>
      </c>
      <c r="L27" s="22">
        <v>1.8098753673271663E-2</v>
      </c>
      <c r="M27" s="22"/>
      <c r="N27" s="22"/>
    </row>
    <row r="28" spans="1:14" x14ac:dyDescent="0.15">
      <c r="G28" s="17">
        <v>21</v>
      </c>
      <c r="H28" s="17">
        <v>15</v>
      </c>
      <c r="I28" s="17">
        <v>0</v>
      </c>
      <c r="J28" s="17">
        <v>0.50226243776557711</v>
      </c>
      <c r="K28" s="17">
        <v>0.3130875508131068</v>
      </c>
      <c r="L28" s="17">
        <v>8.0584283254062153E-2</v>
      </c>
      <c r="M28" s="17"/>
      <c r="N28" s="17"/>
    </row>
    <row r="29" spans="1:14" x14ac:dyDescent="0.15">
      <c r="G29" s="17">
        <v>22</v>
      </c>
      <c r="H29" s="17">
        <v>16</v>
      </c>
      <c r="I29" s="17">
        <v>0</v>
      </c>
      <c r="J29" s="17">
        <v>0.37094000005629635</v>
      </c>
      <c r="K29" s="17">
        <v>0.3920266034603761</v>
      </c>
      <c r="L29" s="17">
        <v>0.15730196876225869</v>
      </c>
      <c r="M29" s="17"/>
      <c r="N29" s="17"/>
    </row>
    <row r="30" spans="1:14" x14ac:dyDescent="0.15">
      <c r="G30" s="17">
        <v>23</v>
      </c>
      <c r="H30" s="17">
        <v>17</v>
      </c>
      <c r="I30" s="17">
        <v>0</v>
      </c>
      <c r="J30" s="17">
        <v>0.30110960864616143</v>
      </c>
      <c r="K30" s="17">
        <v>0.4849787826978621</v>
      </c>
      <c r="L30" s="17">
        <v>0.21626695564078832</v>
      </c>
      <c r="M30" s="17"/>
      <c r="N30" s="17"/>
    </row>
    <row r="31" spans="1:14" x14ac:dyDescent="0.15">
      <c r="G31" s="17">
        <v>24</v>
      </c>
      <c r="H31" s="17">
        <v>18</v>
      </c>
      <c r="I31" s="17">
        <v>0</v>
      </c>
      <c r="J31" s="17">
        <v>0.24838461417397359</v>
      </c>
      <c r="K31" s="17">
        <v>0.52512157933039449</v>
      </c>
      <c r="L31" s="17">
        <v>0.26062815663780919</v>
      </c>
      <c r="M31" s="17"/>
      <c r="N31" s="17"/>
    </row>
    <row r="32" spans="1:14" x14ac:dyDescent="0.15">
      <c r="G32" s="17">
        <v>25</v>
      </c>
      <c r="H32" s="17">
        <v>19</v>
      </c>
      <c r="I32" s="17">
        <v>0</v>
      </c>
      <c r="J32" s="17">
        <v>0.15712888501552361</v>
      </c>
      <c r="K32" s="17">
        <v>0.60455568194832798</v>
      </c>
      <c r="L32" s="17">
        <v>0.36274407784087226</v>
      </c>
      <c r="M32" s="17"/>
      <c r="N32" s="17"/>
    </row>
    <row r="33" spans="7:14" x14ac:dyDescent="0.15">
      <c r="G33" s="17">
        <v>26</v>
      </c>
      <c r="H33" s="17">
        <v>20</v>
      </c>
      <c r="I33" s="17">
        <v>0</v>
      </c>
      <c r="J33" s="17">
        <v>0.14975086140828561</v>
      </c>
      <c r="K33" s="17">
        <v>0.69321568421949853</v>
      </c>
      <c r="L33" s="17">
        <v>0.45696107216324799</v>
      </c>
      <c r="M33" s="17"/>
      <c r="N33" s="17"/>
    </row>
    <row r="34" spans="7:14" x14ac:dyDescent="0.15">
      <c r="G34" s="17">
        <v>27</v>
      </c>
      <c r="H34" s="17">
        <v>21</v>
      </c>
      <c r="I34" s="17">
        <v>0</v>
      </c>
      <c r="J34" s="17">
        <v>9.7345474799762396E-2</v>
      </c>
      <c r="K34" s="17">
        <v>0.69098362724907092</v>
      </c>
      <c r="L34" s="17">
        <v>0.47315214952361062</v>
      </c>
      <c r="M34" s="17"/>
      <c r="N34" s="17"/>
    </row>
    <row r="35" spans="7:14" x14ac:dyDescent="0.15">
      <c r="G35" s="17">
        <v>28</v>
      </c>
      <c r="H35" s="17">
        <v>22</v>
      </c>
      <c r="I35" s="17">
        <v>0</v>
      </c>
      <c r="J35" s="17">
        <v>9.0828644637339653E-2</v>
      </c>
      <c r="K35" s="17">
        <v>0.69963325899987716</v>
      </c>
      <c r="L35" s="17">
        <v>0.48701998767466809</v>
      </c>
      <c r="M35" s="17"/>
      <c r="N35" s="17"/>
    </row>
    <row r="36" spans="7:14" x14ac:dyDescent="0.15">
      <c r="G36" s="7">
        <v>29</v>
      </c>
      <c r="H36" s="7">
        <v>22</v>
      </c>
      <c r="I36" s="7">
        <v>0</v>
      </c>
      <c r="J36" s="7">
        <v>7.4919429940980622E-2</v>
      </c>
      <c r="K36" s="7">
        <v>0.72809051634977973</v>
      </c>
      <c r="L36" s="7">
        <v>0.52697786653512291</v>
      </c>
      <c r="M36" s="7"/>
      <c r="N36" s="7"/>
    </row>
    <row r="37" spans="7:14" x14ac:dyDescent="0.15">
      <c r="G37" s="22">
        <v>30</v>
      </c>
      <c r="H37" s="22">
        <v>23</v>
      </c>
      <c r="I37" s="22">
        <v>0</v>
      </c>
      <c r="J37" s="22">
        <v>9.259417547538934E-2</v>
      </c>
      <c r="K37" s="22">
        <v>0.87727093636906606</v>
      </c>
      <c r="L37" s="22">
        <v>0.74175977166551488</v>
      </c>
      <c r="M37" s="22"/>
      <c r="N37" s="22"/>
    </row>
    <row r="38" spans="7:14" x14ac:dyDescent="0.15">
      <c r="G38" s="17">
        <v>31</v>
      </c>
      <c r="H38" s="17">
        <v>23</v>
      </c>
      <c r="I38" s="17">
        <v>0</v>
      </c>
      <c r="J38" s="17">
        <v>5.0655821807096352E-2</v>
      </c>
      <c r="K38" s="17">
        <v>0.78912613097259776</v>
      </c>
      <c r="L38" s="17">
        <v>0.61485364532565356</v>
      </c>
      <c r="M38" s="17"/>
      <c r="N38" s="17"/>
    </row>
    <row r="39" spans="7:14" x14ac:dyDescent="0.15">
      <c r="G39" s="17">
        <v>32</v>
      </c>
      <c r="H39" s="17">
        <v>24</v>
      </c>
      <c r="I39" s="17">
        <v>0</v>
      </c>
      <c r="J39" s="17">
        <v>3.3264540423784884E-2</v>
      </c>
      <c r="K39" s="17">
        <v>0.8457843003393265</v>
      </c>
      <c r="L39" s="17">
        <v>0.70561349655095307</v>
      </c>
      <c r="M39" s="17"/>
      <c r="N39" s="17"/>
    </row>
    <row r="40" spans="7:14" x14ac:dyDescent="0.15">
      <c r="G40" s="17">
        <v>33</v>
      </c>
      <c r="H40" s="17">
        <v>25</v>
      </c>
      <c r="I40" s="17">
        <v>0</v>
      </c>
      <c r="J40" s="17">
        <v>1.3501067781080383E-2</v>
      </c>
      <c r="K40" s="17">
        <v>0.88453404498229782</v>
      </c>
      <c r="L40" s="17">
        <v>0.78110170418556757</v>
      </c>
      <c r="M40" s="17"/>
      <c r="N40" s="17"/>
    </row>
    <row r="41" spans="7:14" x14ac:dyDescent="0.15">
      <c r="G41" s="17">
        <v>34</v>
      </c>
      <c r="H41" s="17">
        <v>26</v>
      </c>
      <c r="I41" s="17">
        <v>0</v>
      </c>
      <c r="J41" s="17">
        <v>7.5988869382030248E-3</v>
      </c>
      <c r="K41" s="17">
        <v>0.92699954592568756</v>
      </c>
      <c r="L41" s="17">
        <v>0.85456389467434291</v>
      </c>
      <c r="M41" s="17"/>
      <c r="N41" s="17"/>
    </row>
    <row r="42" spans="7:14" x14ac:dyDescent="0.15">
      <c r="G42" s="17">
        <v>35</v>
      </c>
      <c r="H42" s="17">
        <v>27</v>
      </c>
      <c r="I42" s="17">
        <v>0</v>
      </c>
      <c r="J42" s="17">
        <v>2.9619374081804161E-3</v>
      </c>
      <c r="K42" s="17">
        <v>0.95446491668980304</v>
      </c>
      <c r="L42" s="17">
        <v>0.90802251622152785</v>
      </c>
      <c r="M42" s="17"/>
      <c r="N42" s="17"/>
    </row>
    <row r="43" spans="7:14" x14ac:dyDescent="0.15">
      <c r="G43" s="17">
        <v>36</v>
      </c>
      <c r="H43" s="17">
        <v>28</v>
      </c>
      <c r="I43" s="17">
        <v>0</v>
      </c>
      <c r="J43" s="17">
        <v>7.7922601114460677E-4</v>
      </c>
      <c r="K43" s="17">
        <v>0.97211639955691476</v>
      </c>
      <c r="L43" s="17">
        <v>0.94514185558404884</v>
      </c>
      <c r="M43" s="17"/>
      <c r="N43" s="17"/>
    </row>
    <row r="44" spans="7:14" x14ac:dyDescent="0.15">
      <c r="G44" s="17">
        <v>37</v>
      </c>
      <c r="H44" s="17">
        <v>29</v>
      </c>
      <c r="I44" s="17">
        <v>0</v>
      </c>
      <c r="J44" s="17">
        <v>1.9764488587336861E-4</v>
      </c>
      <c r="K44" s="17">
        <v>0.99126778581516051</v>
      </c>
      <c r="L44" s="17">
        <v>0.98151003682129823</v>
      </c>
      <c r="M44" s="17"/>
      <c r="N44" s="17"/>
    </row>
    <row r="45" spans="7:14" x14ac:dyDescent="0.15">
      <c r="G45" s="17">
        <v>38</v>
      </c>
      <c r="H45" s="17">
        <v>30</v>
      </c>
      <c r="I45" s="17">
        <v>0</v>
      </c>
      <c r="J45" s="17">
        <v>2.4278303407370714E-5</v>
      </c>
      <c r="K45" s="17">
        <v>0.99617430671084117</v>
      </c>
      <c r="L45" s="17">
        <v>0.99205272762429608</v>
      </c>
      <c r="M45" s="17"/>
      <c r="N45" s="17"/>
    </row>
    <row r="46" spans="7:14" x14ac:dyDescent="0.15">
      <c r="G46" s="7">
        <v>39</v>
      </c>
      <c r="H46" s="7">
        <v>31</v>
      </c>
      <c r="I46" s="7">
        <v>0</v>
      </c>
      <c r="J46" s="7">
        <v>3.4539879217862905E-7</v>
      </c>
      <c r="K46" s="7">
        <v>0.9996263163068031</v>
      </c>
      <c r="L46" s="7">
        <v>0.99920741155540493</v>
      </c>
      <c r="M46" s="7"/>
      <c r="N46" s="7"/>
    </row>
    <row r="47" spans="7:14" x14ac:dyDescent="0.15">
      <c r="G47" s="22">
        <v>40</v>
      </c>
      <c r="H47" s="22">
        <v>32</v>
      </c>
      <c r="I47" s="22">
        <v>0</v>
      </c>
      <c r="J47" s="22">
        <v>3.3528189820668866E-9</v>
      </c>
      <c r="K47" s="22">
        <v>0.99994655346213857</v>
      </c>
      <c r="L47" s="22">
        <v>0.9998953375298365</v>
      </c>
      <c r="M47" s="22"/>
      <c r="N47" s="22"/>
    </row>
    <row r="48" spans="7:14" x14ac:dyDescent="0.15">
      <c r="G48" s="17">
        <v>41</v>
      </c>
      <c r="H48" s="17">
        <v>33</v>
      </c>
      <c r="I48" s="17">
        <v>0</v>
      </c>
      <c r="J48" s="17">
        <v>2.39095704010124E-10</v>
      </c>
      <c r="K48" s="17">
        <v>1.0000126407426859</v>
      </c>
      <c r="L48" s="17">
        <v>1.0000243910985396</v>
      </c>
      <c r="M48" s="17"/>
      <c r="N48" s="17"/>
    </row>
    <row r="49" spans="7:14" x14ac:dyDescent="0.15">
      <c r="G49" s="17">
        <v>42</v>
      </c>
      <c r="H49" s="17">
        <v>34</v>
      </c>
      <c r="I49" s="17">
        <v>0</v>
      </c>
      <c r="J49" s="17">
        <v>2.0297495826330434E-16</v>
      </c>
      <c r="K49" s="17">
        <v>0.99999999563397668</v>
      </c>
      <c r="L49" s="17">
        <v>0.99999999262409789</v>
      </c>
      <c r="M49" s="17"/>
      <c r="N49" s="17"/>
    </row>
    <row r="50" spans="7:14" x14ac:dyDescent="0.15">
      <c r="G50" s="17">
        <v>43</v>
      </c>
      <c r="H50" s="17">
        <v>35</v>
      </c>
      <c r="I50" s="17">
        <v>0</v>
      </c>
      <c r="J50" s="17">
        <v>4.2930754043308101E-22</v>
      </c>
      <c r="K50" s="17">
        <v>0.99999999998644773</v>
      </c>
      <c r="L50" s="17">
        <v>0.99999999997132816</v>
      </c>
      <c r="M50" s="17"/>
      <c r="N50" s="17"/>
    </row>
    <row r="51" spans="7:14" x14ac:dyDescent="0.15">
      <c r="G51" s="17"/>
      <c r="H51" s="17"/>
      <c r="I51" s="17"/>
      <c r="J51" s="17"/>
      <c r="K51" s="17"/>
      <c r="L51" s="17"/>
      <c r="M51" s="17"/>
      <c r="N51" s="17"/>
    </row>
    <row r="52" spans="7:14" x14ac:dyDescent="0.15">
      <c r="G52" s="17"/>
      <c r="H52" s="17"/>
      <c r="I52" s="17"/>
      <c r="J52" s="17"/>
      <c r="K52" s="17"/>
      <c r="L52" s="17"/>
      <c r="M52" s="17"/>
      <c r="N52" s="17"/>
    </row>
    <row r="53" spans="7:14" x14ac:dyDescent="0.15">
      <c r="G53" s="17"/>
      <c r="H53" s="17"/>
      <c r="I53" s="17"/>
      <c r="J53" s="17"/>
      <c r="K53" s="17"/>
      <c r="L53" s="17"/>
      <c r="M53" s="17"/>
      <c r="N53" s="17"/>
    </row>
    <row r="54" spans="7:14" x14ac:dyDescent="0.15">
      <c r="G54" s="17"/>
      <c r="H54" s="17"/>
      <c r="I54" s="17"/>
      <c r="J54" s="17"/>
      <c r="K54" s="17"/>
      <c r="L54" s="17"/>
      <c r="M54" s="17"/>
      <c r="N54" s="17"/>
    </row>
    <row r="55" spans="7:14" x14ac:dyDescent="0.15">
      <c r="G55" s="17"/>
      <c r="H55" s="17"/>
      <c r="I55" s="17"/>
      <c r="J55" s="17"/>
      <c r="K55" s="17"/>
      <c r="L55" s="17"/>
      <c r="M55" s="17"/>
      <c r="N55" s="17"/>
    </row>
    <row r="56" spans="7:14" x14ac:dyDescent="0.15">
      <c r="G56" s="7"/>
      <c r="H56" s="7"/>
      <c r="I56" s="7"/>
      <c r="J56" s="7"/>
      <c r="K56" s="7"/>
      <c r="L56" s="7"/>
      <c r="M56" s="7"/>
      <c r="N56" s="7"/>
    </row>
  </sheetData>
  <phoneticPr fontId="3"/>
  <dataValidations count="4">
    <dataValidation type="whole" allowBlank="1" showInputMessage="1" showErrorMessage="1" sqref="B11" xr:uid="{00000000-0002-0000-0100-000000000000}">
      <formula1>1</formula1>
      <formula2>4</formula2>
    </dataValidation>
    <dataValidation type="whole" operator="greaterThanOrEqual" allowBlank="1" showInputMessage="1" showErrorMessage="1" promptTitle="途中経過" prompt="= 0: 出力しない_x000a_&gt;= 1: 出力する" sqref="B7" xr:uid="{00000000-0002-0000-0100-000001000000}">
      <formula1>0</formula1>
    </dataValidation>
    <dataValidation type="whole" allowBlank="1" showInputMessage="1" showErrorMessage="1" prompt="0: Optif9_x000a_1: Optif0_x000a_2: Mng_x000a_3: Mnf_x000a_4: Mnh" sqref="B22" xr:uid="{00000000-0002-0000-0100-000002000000}">
      <formula1>0</formula1>
      <formula2>4</formula2>
    </dataValidation>
    <dataValidation type="whole" allowBlank="1" showInputMessage="1" showErrorMessage="1" prompt="0: コールバック版_x000a_1: リバースコミュニケーション版" sqref="B23" xr:uid="{631FCEAB-AD60-46CF-838D-115490324945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_2">
                <anchor moveWithCells="1" sizeWithCells="1">
                  <from>
                    <xdr:col>2</xdr:col>
                    <xdr:colOff>847725</xdr:colOff>
                    <xdr:row>2</xdr:row>
                    <xdr:rowOff>0</xdr:rowOff>
                  </from>
                  <to>
                    <xdr:col>3</xdr:col>
                    <xdr:colOff>952500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tart_2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2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1変数</vt:lpstr>
      <vt:lpstr>多変数</vt:lpstr>
    </vt:vector>
  </TitlesOfParts>
  <Manager/>
  <Company>K Technologies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Nonlinear optimization</dc:title>
  <dc:creator/>
  <dc:description>(C) 2014-2018 K Technologies</dc:description>
  <cp:lastModifiedBy>User</cp:lastModifiedBy>
  <dcterms:created xsi:type="dcterms:W3CDTF">2012-08-03T09:08:30Z</dcterms:created>
  <dcterms:modified xsi:type="dcterms:W3CDTF">2019-03-03T07:23:01Z</dcterms:modified>
</cp:coreProperties>
</file>
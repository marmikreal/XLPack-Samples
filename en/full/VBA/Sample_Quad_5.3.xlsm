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XLPack\sample\Full\en\VBA\"/>
    </mc:Choice>
  </mc:AlternateContent>
  <xr:revisionPtr revIDLastSave="0" documentId="13_ncr:1_{00EECFF9-919E-4BE0-860C-C3022265CCAA}" xr6:coauthVersionLast="45" xr6:coauthVersionMax="45" xr10:uidLastSave="{00000000-0000-0000-0000-000000000000}"/>
  <bookViews>
    <workbookView xWindow="780" yWindow="60" windowWidth="17153" windowHeight="11325" tabRatio="762" xr2:uid="{00000000-000D-0000-FFFF-FFFF00000000}"/>
  </bookViews>
  <sheets>
    <sheet name="Finite interval" sheetId="1" r:id="rId1"/>
    <sheet name="Semi-infinite interval" sheetId="2" r:id="rId2"/>
    <sheet name="Infinite interval" sheetId="4" r:id="rId3"/>
    <sheet name="Cauchy principal value" sheetId="5" r:id="rId4"/>
    <sheet name="Singularities at end points" sheetId="6" r:id="rId5"/>
    <sheet name="Oscillatory function" sheetId="7" r:id="rId6"/>
    <sheet name="Fourier integral" sheetId="8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8" l="1"/>
  <c r="E8" i="7"/>
  <c r="E7" i="7"/>
  <c r="B7" i="5"/>
  <c r="B7" i="4" l="1"/>
  <c r="B7" i="1" l="1"/>
  <c r="B7" i="2" l="1"/>
</calcChain>
</file>

<file path=xl/sharedStrings.xml><?xml version="1.0" encoding="utf-8"?>
<sst xmlns="http://schemas.openxmlformats.org/spreadsheetml/2006/main" count="145" uniqueCount="63">
  <si>
    <t xml:space="preserve">x = </t>
    <phoneticPr fontId="3"/>
  </si>
  <si>
    <t xml:space="preserve">f(x) = </t>
    <phoneticPr fontId="3"/>
  </si>
  <si>
    <t xml:space="preserve">Err = </t>
    <phoneticPr fontId="3"/>
  </si>
  <si>
    <t>A</t>
    <phoneticPr fontId="3"/>
  </si>
  <si>
    <t>B</t>
    <phoneticPr fontId="3"/>
  </si>
  <si>
    <t>B</t>
    <phoneticPr fontId="3"/>
  </si>
  <si>
    <t>+inf</t>
  </si>
  <si>
    <t xml:space="preserve">Prog = </t>
    <phoneticPr fontId="3"/>
  </si>
  <si>
    <t>-inf</t>
    <phoneticPr fontId="3"/>
  </si>
  <si>
    <t>Quadrature (finite interval)</t>
    <phoneticPr fontId="3"/>
  </si>
  <si>
    <t>Example:. f(x) = 1/(1 + x^2)</t>
    <phoneticPr fontId="3"/>
  </si>
  <si>
    <t>Definition of Integrand</t>
  </si>
  <si>
    <t>Program to be used</t>
    <phoneticPr fontId="3"/>
  </si>
  <si>
    <t># of f(x) eval.</t>
  </si>
  <si>
    <t>Integral [A, B]</t>
  </si>
  <si>
    <t>Estimated error</t>
  </si>
  <si>
    <t>Quadrature (semi-infinite interval)</t>
    <phoneticPr fontId="3"/>
  </si>
  <si>
    <t>Example: f(x) = 1/(1 + x^2)</t>
    <phoneticPr fontId="3"/>
  </si>
  <si>
    <t>Program to be used</t>
    <phoneticPr fontId="3"/>
  </si>
  <si>
    <t>Integral [A, +inf]</t>
  </si>
  <si>
    <t>Quadrature (infinite interval)</t>
    <phoneticPr fontId="3"/>
  </si>
  <si>
    <t>Example: f(x) = 1/(1 + x^2)</t>
    <phoneticPr fontId="3"/>
  </si>
  <si>
    <t>Program to be used</t>
    <phoneticPr fontId="3"/>
  </si>
  <si>
    <t>Integral [-inf, +inf]</t>
    <phoneticPr fontId="3"/>
  </si>
  <si>
    <t>A</t>
    <phoneticPr fontId="3"/>
  </si>
  <si>
    <t xml:space="preserve">Err = </t>
    <phoneticPr fontId="3"/>
  </si>
  <si>
    <t xml:space="preserve">c = </t>
    <phoneticPr fontId="3"/>
  </si>
  <si>
    <t>f(x)/(x - c)</t>
    <phoneticPr fontId="3"/>
  </si>
  <si>
    <t xml:space="preserve">α = </t>
    <phoneticPr fontId="3"/>
  </si>
  <si>
    <t xml:space="preserve">β = </t>
    <phoneticPr fontId="3"/>
  </si>
  <si>
    <t xml:space="preserve">Integr = </t>
    <phoneticPr fontId="3"/>
  </si>
  <si>
    <t xml:space="preserve">x = </t>
    <phoneticPr fontId="3"/>
  </si>
  <si>
    <t>A</t>
    <phoneticPr fontId="3"/>
  </si>
  <si>
    <t>B</t>
    <phoneticPr fontId="3"/>
  </si>
  <si>
    <t xml:space="preserve">Err = </t>
    <phoneticPr fontId="3"/>
  </si>
  <si>
    <t xml:space="preserve">ω = </t>
    <phoneticPr fontId="3"/>
  </si>
  <si>
    <t xml:space="preserve">Integr = </t>
    <phoneticPr fontId="3"/>
  </si>
  <si>
    <t xml:space="preserve">x = </t>
    <phoneticPr fontId="3"/>
  </si>
  <si>
    <t>A</t>
    <phoneticPr fontId="3"/>
  </si>
  <si>
    <t xml:space="preserve">Err = </t>
    <phoneticPr fontId="3"/>
  </si>
  <si>
    <t xml:space="preserve">ω = </t>
    <phoneticPr fontId="3"/>
  </si>
  <si>
    <t>Quadrature (Cauchy principal value of the integral)</t>
    <phoneticPr fontId="3"/>
  </si>
  <si>
    <t>Integrand:</t>
    <phoneticPr fontId="3"/>
  </si>
  <si>
    <t>Example: f(x) = exp(x)/x</t>
    <phoneticPr fontId="3"/>
  </si>
  <si>
    <t>Quadrature (singularities at the end points)</t>
    <phoneticPr fontId="3"/>
  </si>
  <si>
    <t>Example: f(x) = ln(x)</t>
    <phoneticPr fontId="3"/>
  </si>
  <si>
    <t xml:space="preserve">  Integr=1: f(x)*(x - a)^α*(x - b)^β</t>
    <phoneticPr fontId="3"/>
  </si>
  <si>
    <t xml:space="preserve">  Integr=2: f(x)*(x - a)^α*(x - b)^β*ln(x - a)</t>
    <phoneticPr fontId="3"/>
  </si>
  <si>
    <t xml:space="preserve">  Integr=3: f(x)*(x - a)^α*(x - b)^β*ln(b - x)</t>
    <phoneticPr fontId="3"/>
  </si>
  <si>
    <t xml:space="preserve">  Integr=4: f(x)*(x - a)^α*(x - b)^β*ln(x - a)*ln(b - x)</t>
    <phoneticPr fontId="3"/>
  </si>
  <si>
    <t>Quadrature (function with an oscillatory factor)</t>
    <phoneticPr fontId="3"/>
  </si>
  <si>
    <t>Example: f(x) = sin(x)</t>
    <phoneticPr fontId="3"/>
  </si>
  <si>
    <t xml:space="preserve">  Integr=1: f(x)*cos(ωx)</t>
    <phoneticPr fontId="3"/>
  </si>
  <si>
    <t xml:space="preserve">  Integr=2: f(x)*sin(ωx)</t>
    <phoneticPr fontId="3"/>
  </si>
  <si>
    <t>Quadrature (Fourier integral)</t>
    <phoneticPr fontId="3"/>
  </si>
  <si>
    <t>Example: f(x) = exp(-x^2)*cos(x)</t>
    <phoneticPr fontId="3"/>
  </si>
  <si>
    <t>Qag</t>
    <phoneticPr fontId="3"/>
  </si>
  <si>
    <t>Qagi</t>
    <phoneticPr fontId="3"/>
  </si>
  <si>
    <t>Qawc</t>
  </si>
  <si>
    <t>Qawo</t>
  </si>
  <si>
    <t xml:space="preserve">Revcom = </t>
    <phoneticPr fontId="3"/>
  </si>
  <si>
    <t>Qaws</t>
    <phoneticPr fontId="3"/>
  </si>
  <si>
    <t>Qawf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</si>
</sst>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2" xfId="0" applyFill="1" applyBorder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0" fontId="0" fillId="3" borderId="3" xfId="0" applyFill="1" applyBorder="1">
      <alignment vertical="center"/>
    </xf>
    <xf numFmtId="0" fontId="0" fillId="0" borderId="3" xfId="0" applyBorder="1">
      <alignment vertical="center"/>
    </xf>
    <xf numFmtId="0" fontId="0" fillId="3" borderId="1" xfId="0" applyFill="1" applyBorder="1">
      <alignment vertical="center"/>
    </xf>
    <xf numFmtId="11" fontId="0" fillId="3" borderId="1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0" borderId="4" xfId="0" applyBorder="1">
      <alignment vertical="center"/>
    </xf>
    <xf numFmtId="0" fontId="0" fillId="0" borderId="2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0" borderId="2" xfId="0" quotePrefix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1" xfId="0" quotePrefix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1</xdr:row>
          <xdr:rowOff>161925</xdr:rowOff>
        </xdr:from>
        <xdr:to>
          <xdr:col>3</xdr:col>
          <xdr:colOff>1095375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1</xdr:row>
          <xdr:rowOff>161925</xdr:rowOff>
        </xdr:from>
        <xdr:to>
          <xdr:col>3</xdr:col>
          <xdr:colOff>1095375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tabSelected="1"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9</v>
      </c>
    </row>
    <row r="2" spans="1:8" x14ac:dyDescent="0.25">
      <c r="A2" s="1"/>
    </row>
    <row r="3" spans="1:8" x14ac:dyDescent="0.25">
      <c r="A3" s="2"/>
      <c r="F3" t="s">
        <v>10</v>
      </c>
    </row>
    <row r="5" spans="1:8" x14ac:dyDescent="0.25">
      <c r="A5" t="s">
        <v>11</v>
      </c>
      <c r="D5" t="s">
        <v>56</v>
      </c>
    </row>
    <row r="6" spans="1:8" x14ac:dyDescent="0.25">
      <c r="A6" s="6" t="s">
        <v>0</v>
      </c>
      <c r="B6" s="7">
        <v>1.4034059178159555</v>
      </c>
      <c r="D6" s="15" t="s">
        <v>3</v>
      </c>
      <c r="E6" s="16" t="s">
        <v>4</v>
      </c>
      <c r="F6" s="3" t="s">
        <v>13</v>
      </c>
      <c r="G6" s="3" t="s">
        <v>14</v>
      </c>
      <c r="H6" s="3" t="s">
        <v>15</v>
      </c>
    </row>
    <row r="7" spans="1:8" x14ac:dyDescent="0.25">
      <c r="A7" s="6" t="s">
        <v>1</v>
      </c>
      <c r="B7" s="10">
        <f>1/(1+B6^2)</f>
        <v>0.33675156714020754</v>
      </c>
      <c r="C7" s="4"/>
      <c r="D7" s="17">
        <v>0</v>
      </c>
      <c r="E7" s="18">
        <v>1</v>
      </c>
      <c r="F7" s="14">
        <v>45</v>
      </c>
      <c r="G7" s="14">
        <v>0.78539816339744839</v>
      </c>
      <c r="H7" s="14">
        <v>8.719671245020275E-15</v>
      </c>
    </row>
    <row r="8" spans="1:8" x14ac:dyDescent="0.25">
      <c r="A8" s="6" t="s">
        <v>2</v>
      </c>
      <c r="B8" s="11">
        <v>1E-10</v>
      </c>
      <c r="D8" s="19">
        <v>0</v>
      </c>
      <c r="E8" s="20">
        <v>2</v>
      </c>
      <c r="F8" s="9">
        <v>75</v>
      </c>
      <c r="G8" s="9">
        <v>1.1071487177940906</v>
      </c>
      <c r="H8" s="9">
        <v>1.2291820077786625E-14</v>
      </c>
    </row>
    <row r="9" spans="1:8" x14ac:dyDescent="0.25">
      <c r="D9" s="19">
        <v>0</v>
      </c>
      <c r="E9" s="20">
        <v>3</v>
      </c>
      <c r="F9" s="9">
        <v>75</v>
      </c>
      <c r="G9" s="9">
        <v>1.2490457723982544</v>
      </c>
      <c r="H9" s="9">
        <v>2.2924619172774786E-13</v>
      </c>
    </row>
    <row r="10" spans="1:8" x14ac:dyDescent="0.25">
      <c r="A10" s="26" t="s">
        <v>12</v>
      </c>
      <c r="D10" s="19">
        <v>0</v>
      </c>
      <c r="E10" s="20">
        <v>4</v>
      </c>
      <c r="F10" s="9">
        <v>75</v>
      </c>
      <c r="G10" s="9">
        <v>1.3258176636680326</v>
      </c>
      <c r="H10" s="9">
        <v>1.2911582553319398E-10</v>
      </c>
    </row>
    <row r="11" spans="1:8" x14ac:dyDescent="0.25">
      <c r="A11" s="6" t="s">
        <v>7</v>
      </c>
      <c r="B11" s="10">
        <v>7</v>
      </c>
      <c r="D11" s="21">
        <v>0</v>
      </c>
      <c r="E11" s="22">
        <v>5</v>
      </c>
      <c r="F11" s="13">
        <v>105</v>
      </c>
      <c r="G11" s="13">
        <v>1.3734007669450159</v>
      </c>
      <c r="H11" s="13">
        <v>3.6284495375547927E-13</v>
      </c>
    </row>
    <row r="12" spans="1:8" x14ac:dyDescent="0.25">
      <c r="A12" s="6" t="s">
        <v>60</v>
      </c>
      <c r="B12" s="10">
        <v>0</v>
      </c>
      <c r="D12" s="17">
        <v>0</v>
      </c>
      <c r="E12" s="18">
        <v>6</v>
      </c>
      <c r="F12" s="14">
        <v>105</v>
      </c>
      <c r="G12" s="14">
        <v>1.4056476493802699</v>
      </c>
      <c r="H12" s="14">
        <v>3.3255800070525266E-13</v>
      </c>
    </row>
    <row r="13" spans="1:8" x14ac:dyDescent="0.25">
      <c r="D13" s="19">
        <v>0</v>
      </c>
      <c r="E13" s="20">
        <v>7</v>
      </c>
      <c r="F13" s="9">
        <v>105</v>
      </c>
      <c r="G13" s="9">
        <v>1.4288992721907328</v>
      </c>
      <c r="H13" s="9">
        <v>1.1441705666110514E-11</v>
      </c>
    </row>
    <row r="14" spans="1:8" x14ac:dyDescent="0.25">
      <c r="D14" s="19"/>
      <c r="E14" s="20"/>
      <c r="F14" s="9"/>
      <c r="G14" s="9"/>
      <c r="H14" s="9"/>
    </row>
    <row r="15" spans="1:8" x14ac:dyDescent="0.25">
      <c r="D15" s="19"/>
      <c r="E15" s="20"/>
      <c r="F15" s="9"/>
      <c r="G15" s="9"/>
      <c r="H15" s="9"/>
    </row>
    <row r="16" spans="1:8" x14ac:dyDescent="0.25">
      <c r="D16" s="21"/>
      <c r="E16" s="22"/>
      <c r="F16" s="13"/>
      <c r="G16" s="13"/>
      <c r="H16" s="13"/>
    </row>
  </sheetData>
  <phoneticPr fontId="3"/>
  <dataValidations count="2">
    <dataValidation type="whole" allowBlank="1" showInputMessage="1" showErrorMessage="1" prompt="0: Qk15  1: Qk21  2: Qk31  3: Qk41_x000a_4: Qk51  5: Qk61  6: Qng  7: Qag_x000a_8: Qags  9: Defin" sqref="B11" xr:uid="{00000000-0002-0000-0000-000000000000}">
      <formula1>0</formula1>
      <formula2>9</formula2>
    </dataValidation>
    <dataValidation type="whole" allowBlank="1" showInputMessage="1" showErrorMessage="1" prompt="0: Callback version_x000a_1: Reverse communication version" sqref="B12" xr:uid="{A56FE8AB-8BD3-4104-8BCE-33142524A344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tart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H16"/>
  <sheetViews>
    <sheetView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16</v>
      </c>
    </row>
    <row r="3" spans="1:8" x14ac:dyDescent="0.25">
      <c r="A3" s="2"/>
      <c r="F3" t="s">
        <v>17</v>
      </c>
    </row>
    <row r="5" spans="1:8" x14ac:dyDescent="0.25">
      <c r="A5" t="s">
        <v>11</v>
      </c>
      <c r="D5" t="s">
        <v>57</v>
      </c>
    </row>
    <row r="6" spans="1:8" x14ac:dyDescent="0.25">
      <c r="A6" s="6" t="s">
        <v>0</v>
      </c>
      <c r="B6" s="7">
        <v>6.4939327642617179</v>
      </c>
      <c r="D6" s="3" t="s">
        <v>3</v>
      </c>
      <c r="E6" s="3" t="s">
        <v>5</v>
      </c>
      <c r="F6" s="3" t="s">
        <v>13</v>
      </c>
      <c r="G6" s="3" t="s">
        <v>19</v>
      </c>
      <c r="H6" s="3" t="s">
        <v>15</v>
      </c>
    </row>
    <row r="7" spans="1:8" x14ac:dyDescent="0.25">
      <c r="A7" s="6" t="s">
        <v>1</v>
      </c>
      <c r="B7" s="10">
        <f>1/(1+B6*B6)</f>
        <v>2.3163610530162037E-2</v>
      </c>
      <c r="C7" s="4"/>
      <c r="D7" s="5">
        <v>0</v>
      </c>
      <c r="E7" s="23" t="s">
        <v>6</v>
      </c>
      <c r="F7" s="14">
        <v>75</v>
      </c>
      <c r="G7" s="14">
        <v>1.5707963267948966</v>
      </c>
      <c r="H7" s="14">
        <v>1.2889829569499947E-10</v>
      </c>
    </row>
    <row r="8" spans="1:8" x14ac:dyDescent="0.25">
      <c r="A8" s="6" t="s">
        <v>2</v>
      </c>
      <c r="B8" s="11">
        <v>1E-10</v>
      </c>
      <c r="D8" s="8">
        <v>1</v>
      </c>
      <c r="E8" s="24" t="s">
        <v>6</v>
      </c>
      <c r="F8" s="9">
        <v>45</v>
      </c>
      <c r="G8" s="9">
        <v>0.78539816339744839</v>
      </c>
      <c r="H8" s="9">
        <v>8.719671245020275E-15</v>
      </c>
    </row>
    <row r="9" spans="1:8" x14ac:dyDescent="0.25">
      <c r="D9" s="8">
        <v>2</v>
      </c>
      <c r="E9" s="24" t="s">
        <v>6</v>
      </c>
      <c r="F9" s="9">
        <v>45</v>
      </c>
      <c r="G9" s="9">
        <v>0.46364760900080609</v>
      </c>
      <c r="H9" s="9">
        <v>5.147522508232726E-15</v>
      </c>
    </row>
    <row r="10" spans="1:8" x14ac:dyDescent="0.25">
      <c r="A10" s="26" t="s">
        <v>18</v>
      </c>
      <c r="D10" s="8">
        <v>3</v>
      </c>
      <c r="E10" s="24" t="s">
        <v>6</v>
      </c>
      <c r="F10" s="9">
        <v>45</v>
      </c>
      <c r="G10" s="9">
        <v>0.32175055439664213</v>
      </c>
      <c r="H10" s="9">
        <v>7.571310215012003E-12</v>
      </c>
    </row>
    <row r="11" spans="1:8" x14ac:dyDescent="0.25">
      <c r="A11" s="6" t="s">
        <v>7</v>
      </c>
      <c r="B11" s="10">
        <v>1</v>
      </c>
      <c r="D11" s="12">
        <v>4</v>
      </c>
      <c r="E11" s="25" t="s">
        <v>6</v>
      </c>
      <c r="F11" s="13">
        <v>75</v>
      </c>
      <c r="G11" s="13">
        <v>0.24497866312686414</v>
      </c>
      <c r="H11" s="13">
        <v>1.1276552063185909E-14</v>
      </c>
    </row>
    <row r="12" spans="1:8" x14ac:dyDescent="0.25">
      <c r="A12" s="6" t="s">
        <v>60</v>
      </c>
      <c r="B12" s="10">
        <v>0</v>
      </c>
      <c r="D12" s="5">
        <v>5</v>
      </c>
      <c r="E12" s="27" t="s">
        <v>6</v>
      </c>
      <c r="F12" s="14">
        <v>75</v>
      </c>
      <c r="G12" s="14">
        <v>0.19739555984988078</v>
      </c>
      <c r="H12" s="14">
        <v>8.6370927804060662E-13</v>
      </c>
    </row>
    <row r="13" spans="1:8" x14ac:dyDescent="0.25">
      <c r="D13" s="8"/>
      <c r="E13" s="24" t="s">
        <v>6</v>
      </c>
      <c r="F13" s="9"/>
      <c r="G13" s="9"/>
      <c r="H13" s="9"/>
    </row>
    <row r="14" spans="1:8" x14ac:dyDescent="0.25">
      <c r="D14" s="8"/>
      <c r="E14" s="24" t="s">
        <v>6</v>
      </c>
      <c r="F14" s="9"/>
      <c r="G14" s="9"/>
      <c r="H14" s="9"/>
    </row>
    <row r="15" spans="1:8" x14ac:dyDescent="0.25">
      <c r="D15" s="8"/>
      <c r="E15" s="24" t="s">
        <v>6</v>
      </c>
      <c r="F15" s="9"/>
      <c r="G15" s="9"/>
      <c r="H15" s="9"/>
    </row>
    <row r="16" spans="1:8" x14ac:dyDescent="0.25">
      <c r="D16" s="12"/>
      <c r="E16" s="25" t="s">
        <v>6</v>
      </c>
      <c r="F16" s="13"/>
      <c r="G16" s="13"/>
      <c r="H16" s="13"/>
    </row>
  </sheetData>
  <phoneticPr fontId="3"/>
  <dataValidations count="2">
    <dataValidation type="whole" allowBlank="1" showInputMessage="1" showErrorMessage="1" prompt="0: Qk15i  1: Qagi  2: Dehint" sqref="B11" xr:uid="{00000000-0002-0000-0100-000000000000}">
      <formula1>0</formula1>
      <formula2>2</formula2>
    </dataValidation>
    <dataValidation type="whole" allowBlank="1" showInputMessage="1" showErrorMessage="1" prompt="0: Callback version_x000a_1: Reverse communication version" sqref="B12" xr:uid="{9020F9FA-DC07-4F83-A60E-63B2A9A8F04F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">
                <anchor moveWithCells="1" sizeWithCells="1">
                  <from>
                    <xdr:col>2</xdr:col>
                    <xdr:colOff>857250</xdr:colOff>
                    <xdr:row>1</xdr:row>
                    <xdr:rowOff>161925</xdr:rowOff>
                  </from>
                  <to>
                    <xdr:col>3</xdr:col>
                    <xdr:colOff>1095375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tart2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H12"/>
  <sheetViews>
    <sheetView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7" width="15.59765625" customWidth="1"/>
    <col min="8" max="8" width="14.3984375" customWidth="1"/>
  </cols>
  <sheetData>
    <row r="1" spans="1:8" x14ac:dyDescent="0.25">
      <c r="A1" s="1" t="s">
        <v>20</v>
      </c>
    </row>
    <row r="3" spans="1:8" x14ac:dyDescent="0.25">
      <c r="A3" s="2"/>
      <c r="F3" t="s">
        <v>21</v>
      </c>
    </row>
    <row r="5" spans="1:8" x14ac:dyDescent="0.25">
      <c r="A5" t="s">
        <v>11</v>
      </c>
      <c r="D5" t="s">
        <v>57</v>
      </c>
    </row>
    <row r="6" spans="1:8" x14ac:dyDescent="0.25">
      <c r="A6" s="6" t="s">
        <v>0</v>
      </c>
      <c r="B6" s="7">
        <v>-1.4939327642617182</v>
      </c>
      <c r="D6" s="3" t="s">
        <v>3</v>
      </c>
      <c r="E6" s="3" t="s">
        <v>4</v>
      </c>
      <c r="F6" s="3" t="s">
        <v>13</v>
      </c>
      <c r="G6" s="3" t="s">
        <v>23</v>
      </c>
      <c r="H6" s="3" t="s">
        <v>15</v>
      </c>
    </row>
    <row r="7" spans="1:8" x14ac:dyDescent="0.25">
      <c r="A7" s="6" t="s">
        <v>1</v>
      </c>
      <c r="B7" s="10">
        <f>1/(1+B6*B6)</f>
        <v>0.30942172721641859</v>
      </c>
      <c r="C7" s="4"/>
      <c r="D7" s="28" t="s">
        <v>8</v>
      </c>
      <c r="E7" s="28" t="s">
        <v>6</v>
      </c>
      <c r="F7" s="7">
        <v>150</v>
      </c>
      <c r="G7" s="7">
        <v>3.1415926535897931</v>
      </c>
      <c r="H7" s="7">
        <v>2.5779659138999894E-10</v>
      </c>
    </row>
    <row r="8" spans="1:8" x14ac:dyDescent="0.25">
      <c r="A8" s="6" t="s">
        <v>2</v>
      </c>
      <c r="B8" s="11">
        <v>1E-10</v>
      </c>
    </row>
    <row r="10" spans="1:8" x14ac:dyDescent="0.25">
      <c r="A10" s="26" t="s">
        <v>22</v>
      </c>
    </row>
    <row r="11" spans="1:8" x14ac:dyDescent="0.25">
      <c r="A11" s="6" t="s">
        <v>7</v>
      </c>
      <c r="B11" s="10">
        <v>0</v>
      </c>
    </row>
    <row r="12" spans="1:8" x14ac:dyDescent="0.25">
      <c r="A12" s="6" t="s">
        <v>60</v>
      </c>
      <c r="B12" s="10">
        <v>0</v>
      </c>
    </row>
  </sheetData>
  <phoneticPr fontId="3"/>
  <dataValidations count="2">
    <dataValidation type="whole" allowBlank="1" showInputMessage="1" showErrorMessage="1" prompt="0: Qagi  1: Deiint" sqref="B11" xr:uid="{00000000-0002-0000-0200-000000000000}">
      <formula1>0</formula1>
      <formula2>1</formula2>
    </dataValidation>
    <dataValidation type="whole" allowBlank="1" showInputMessage="1" showErrorMessage="1" prompt="0: Callback version_x000a_1: Reverse communication version" sqref="B12" xr:uid="{A9AE7F74-2EE1-446E-8C54-45984DADF1A3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">
                <anchor moveWithCells="1" sizeWithCells="1">
                  <from>
                    <xdr:col>2</xdr:col>
                    <xdr:colOff>857250</xdr:colOff>
                    <xdr:row>1</xdr:row>
                    <xdr:rowOff>161925</xdr:rowOff>
                  </from>
                  <to>
                    <xdr:col>3</xdr:col>
                    <xdr:colOff>1095375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rt3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16"/>
  <sheetViews>
    <sheetView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41</v>
      </c>
    </row>
    <row r="2" spans="1:8" x14ac:dyDescent="0.25">
      <c r="A2" s="1"/>
    </row>
    <row r="3" spans="1:8" x14ac:dyDescent="0.25">
      <c r="A3" s="2"/>
      <c r="F3" t="s">
        <v>43</v>
      </c>
    </row>
    <row r="5" spans="1:8" x14ac:dyDescent="0.25">
      <c r="A5" t="s">
        <v>11</v>
      </c>
      <c r="D5" t="s">
        <v>58</v>
      </c>
    </row>
    <row r="6" spans="1:8" x14ac:dyDescent="0.25">
      <c r="A6" s="6" t="s">
        <v>0</v>
      </c>
      <c r="B6" s="7">
        <v>-0.1305261922200516</v>
      </c>
      <c r="D6" s="15" t="s">
        <v>24</v>
      </c>
      <c r="E6" s="16" t="s">
        <v>5</v>
      </c>
      <c r="F6" s="3" t="s">
        <v>13</v>
      </c>
      <c r="G6" s="3" t="s">
        <v>14</v>
      </c>
      <c r="H6" s="3" t="s">
        <v>15</v>
      </c>
    </row>
    <row r="7" spans="1:8" x14ac:dyDescent="0.25">
      <c r="A7" s="6" t="s">
        <v>1</v>
      </c>
      <c r="B7" s="10">
        <f>EXP(B6)</f>
        <v>0.87763350547779329</v>
      </c>
      <c r="C7" s="4"/>
      <c r="D7" s="17">
        <v>-1</v>
      </c>
      <c r="E7" s="18">
        <v>1</v>
      </c>
      <c r="F7" s="14">
        <v>25</v>
      </c>
      <c r="G7" s="14">
        <v>2.1145017507514572</v>
      </c>
      <c r="H7" s="14">
        <v>2.5046631435543532E-13</v>
      </c>
    </row>
    <row r="8" spans="1:8" x14ac:dyDescent="0.25">
      <c r="A8" s="6" t="s">
        <v>25</v>
      </c>
      <c r="B8" s="11">
        <v>1E-10</v>
      </c>
      <c r="D8" s="19"/>
      <c r="E8" s="20"/>
      <c r="F8" s="9"/>
      <c r="G8" s="9"/>
      <c r="H8" s="9"/>
    </row>
    <row r="9" spans="1:8" x14ac:dyDescent="0.25">
      <c r="A9" s="6" t="s">
        <v>26</v>
      </c>
      <c r="B9" s="10">
        <v>0</v>
      </c>
      <c r="D9" s="19"/>
      <c r="E9" s="20"/>
      <c r="F9" s="9"/>
      <c r="G9" s="9"/>
      <c r="H9" s="9"/>
    </row>
    <row r="10" spans="1:8" x14ac:dyDescent="0.25">
      <c r="D10" s="19"/>
      <c r="E10" s="20"/>
      <c r="F10" s="9"/>
      <c r="G10" s="9"/>
      <c r="H10" s="9"/>
    </row>
    <row r="11" spans="1:8" x14ac:dyDescent="0.25">
      <c r="A11" s="26" t="s">
        <v>12</v>
      </c>
      <c r="D11" s="21"/>
      <c r="E11" s="22"/>
      <c r="F11" s="13"/>
      <c r="G11" s="13"/>
      <c r="H11" s="13"/>
    </row>
    <row r="12" spans="1:8" x14ac:dyDescent="0.25">
      <c r="A12" s="6" t="s">
        <v>60</v>
      </c>
      <c r="B12" s="10">
        <v>0</v>
      </c>
      <c r="D12" s="17"/>
      <c r="E12" s="18"/>
      <c r="F12" s="14"/>
      <c r="G12" s="14"/>
      <c r="H12" s="14"/>
    </row>
    <row r="13" spans="1:8" x14ac:dyDescent="0.25">
      <c r="D13" s="19"/>
      <c r="E13" s="20"/>
      <c r="F13" s="9"/>
      <c r="G13" s="9"/>
      <c r="H13" s="9"/>
    </row>
    <row r="14" spans="1:8" x14ac:dyDescent="0.25">
      <c r="A14" s="26" t="s">
        <v>42</v>
      </c>
      <c r="B14" t="s">
        <v>27</v>
      </c>
      <c r="D14" s="19"/>
      <c r="E14" s="20"/>
      <c r="F14" s="9"/>
      <c r="G14" s="9"/>
      <c r="H14" s="9"/>
    </row>
    <row r="15" spans="1:8" x14ac:dyDescent="0.25">
      <c r="D15" s="19"/>
      <c r="E15" s="20"/>
      <c r="F15" s="9"/>
      <c r="G15" s="9"/>
      <c r="H15" s="9"/>
    </row>
    <row r="16" spans="1:8" x14ac:dyDescent="0.25">
      <c r="D16" s="21"/>
      <c r="E16" s="22"/>
      <c r="F16" s="13"/>
      <c r="G16" s="13"/>
      <c r="H16" s="13"/>
    </row>
  </sheetData>
  <phoneticPr fontId="3"/>
  <dataValidations count="1">
    <dataValidation type="whole" allowBlank="1" showInputMessage="1" showErrorMessage="1" prompt="0: Callback version_x000a_1: Reverse communication version" sqref="B12" xr:uid="{F8B5D46C-F333-47A6-BDFB-84CBCEED6E73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tart4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0"/>
  <sheetViews>
    <sheetView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44</v>
      </c>
    </row>
    <row r="2" spans="1:8" x14ac:dyDescent="0.25">
      <c r="A2" s="1"/>
    </row>
    <row r="3" spans="1:8" x14ac:dyDescent="0.25">
      <c r="A3" s="2"/>
      <c r="F3" t="s">
        <v>45</v>
      </c>
    </row>
    <row r="5" spans="1:8" x14ac:dyDescent="0.25">
      <c r="A5" t="s">
        <v>11</v>
      </c>
      <c r="D5" t="s">
        <v>61</v>
      </c>
    </row>
    <row r="6" spans="1:8" x14ac:dyDescent="0.25">
      <c r="A6" s="6" t="s">
        <v>0</v>
      </c>
      <c r="B6" s="7">
        <v>8.0194623875197468</v>
      </c>
      <c r="D6" s="15" t="s">
        <v>24</v>
      </c>
      <c r="E6" s="16" t="s">
        <v>5</v>
      </c>
      <c r="F6" s="3" t="s">
        <v>13</v>
      </c>
      <c r="G6" s="3" t="s">
        <v>14</v>
      </c>
      <c r="H6" s="3" t="s">
        <v>15</v>
      </c>
    </row>
    <row r="7" spans="1:8" x14ac:dyDescent="0.25">
      <c r="A7" s="6" t="s">
        <v>1</v>
      </c>
      <c r="B7" s="10">
        <v>1</v>
      </c>
      <c r="C7" s="4"/>
      <c r="D7" s="17">
        <v>0</v>
      </c>
      <c r="E7" s="18">
        <v>1</v>
      </c>
      <c r="F7" s="14">
        <v>40</v>
      </c>
      <c r="G7" s="14">
        <v>-1</v>
      </c>
      <c r="H7" s="14">
        <v>9.8392692355459047E-15</v>
      </c>
    </row>
    <row r="8" spans="1:8" x14ac:dyDescent="0.25">
      <c r="A8" s="6" t="s">
        <v>2</v>
      </c>
      <c r="B8" s="11">
        <v>1E-10</v>
      </c>
      <c r="D8" s="19">
        <v>0</v>
      </c>
      <c r="E8" s="20">
        <v>2</v>
      </c>
      <c r="F8" s="9">
        <v>40</v>
      </c>
      <c r="G8" s="9">
        <v>-0.61370563888010943</v>
      </c>
      <c r="H8" s="9">
        <v>1.9678538471091803E-14</v>
      </c>
    </row>
    <row r="9" spans="1:8" x14ac:dyDescent="0.25">
      <c r="A9" s="6" t="s">
        <v>28</v>
      </c>
      <c r="B9" s="10">
        <v>0</v>
      </c>
      <c r="D9" s="19">
        <v>0</v>
      </c>
      <c r="E9" s="20">
        <v>10</v>
      </c>
      <c r="F9" s="9">
        <v>40</v>
      </c>
      <c r="G9" s="9">
        <v>13.025850929940455</v>
      </c>
      <c r="H9" s="9">
        <v>1.107853960543576E-13</v>
      </c>
    </row>
    <row r="10" spans="1:8" x14ac:dyDescent="0.25">
      <c r="A10" s="6" t="s">
        <v>29</v>
      </c>
      <c r="B10" s="10">
        <v>0</v>
      </c>
      <c r="D10" s="19"/>
      <c r="E10" s="20"/>
      <c r="F10" s="9"/>
      <c r="G10" s="9"/>
      <c r="H10" s="9"/>
    </row>
    <row r="11" spans="1:8" x14ac:dyDescent="0.25">
      <c r="A11" s="6" t="s">
        <v>30</v>
      </c>
      <c r="B11" s="10">
        <v>2</v>
      </c>
      <c r="D11" s="21"/>
      <c r="E11" s="22"/>
      <c r="F11" s="13"/>
      <c r="G11" s="13"/>
      <c r="H11" s="13"/>
    </row>
    <row r="12" spans="1:8" x14ac:dyDescent="0.25">
      <c r="D12" s="17"/>
      <c r="E12" s="18"/>
      <c r="F12" s="14"/>
      <c r="G12" s="14"/>
      <c r="H12" s="14"/>
    </row>
    <row r="13" spans="1:8" x14ac:dyDescent="0.25">
      <c r="A13" s="26" t="s">
        <v>12</v>
      </c>
      <c r="D13" s="19"/>
      <c r="E13" s="20"/>
      <c r="F13" s="9"/>
      <c r="G13" s="9"/>
      <c r="H13" s="9"/>
    </row>
    <row r="14" spans="1:8" x14ac:dyDescent="0.25">
      <c r="A14" s="6" t="s">
        <v>60</v>
      </c>
      <c r="B14" s="10">
        <v>0</v>
      </c>
      <c r="D14" s="19"/>
      <c r="E14" s="20"/>
      <c r="F14" s="9"/>
      <c r="G14" s="9"/>
      <c r="H14" s="9"/>
    </row>
    <row r="15" spans="1:8" x14ac:dyDescent="0.25">
      <c r="D15" s="19"/>
      <c r="E15" s="20"/>
      <c r="F15" s="9"/>
      <c r="G15" s="9"/>
      <c r="H15" s="9"/>
    </row>
    <row r="16" spans="1:8" x14ac:dyDescent="0.25">
      <c r="A16" s="26" t="s">
        <v>42</v>
      </c>
      <c r="D16" s="21"/>
      <c r="E16" s="22"/>
      <c r="F16" s="13"/>
      <c r="G16" s="13"/>
      <c r="H16" s="13"/>
    </row>
    <row r="17" spans="1:1" x14ac:dyDescent="0.25">
      <c r="A17" t="s">
        <v>46</v>
      </c>
    </row>
    <row r="18" spans="1:1" x14ac:dyDescent="0.25">
      <c r="A18" t="s">
        <v>47</v>
      </c>
    </row>
    <row r="19" spans="1:1" x14ac:dyDescent="0.25">
      <c r="A19" t="s">
        <v>48</v>
      </c>
    </row>
    <row r="20" spans="1:1" x14ac:dyDescent="0.25">
      <c r="A20" t="s">
        <v>49</v>
      </c>
    </row>
  </sheetData>
  <phoneticPr fontId="3"/>
  <dataValidations count="1">
    <dataValidation type="whole" allowBlank="1" showInputMessage="1" showErrorMessage="1" prompt="0: Callback version_x000a_1: Reverse communication version" sqref="B14" xr:uid="{8A4A9D3C-6D97-4B7D-8E4C-CC9019B78C13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tart5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H17"/>
  <sheetViews>
    <sheetView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50</v>
      </c>
    </row>
    <row r="2" spans="1:8" x14ac:dyDescent="0.25">
      <c r="A2" s="1"/>
    </row>
    <row r="3" spans="1:8" x14ac:dyDescent="0.25">
      <c r="A3" s="2"/>
      <c r="F3" t="s">
        <v>51</v>
      </c>
    </row>
    <row r="5" spans="1:8" x14ac:dyDescent="0.25">
      <c r="A5" t="s">
        <v>11</v>
      </c>
      <c r="D5" t="s">
        <v>59</v>
      </c>
    </row>
    <row r="6" spans="1:8" x14ac:dyDescent="0.25">
      <c r="A6" s="6" t="s">
        <v>31</v>
      </c>
      <c r="B6" s="7">
        <v>1.8971841708845463</v>
      </c>
      <c r="D6" s="15" t="s">
        <v>32</v>
      </c>
      <c r="E6" s="16" t="s">
        <v>33</v>
      </c>
      <c r="F6" s="3" t="s">
        <v>13</v>
      </c>
      <c r="G6" s="3" t="s">
        <v>14</v>
      </c>
      <c r="H6" s="3" t="s">
        <v>15</v>
      </c>
    </row>
    <row r="7" spans="1:8" x14ac:dyDescent="0.25">
      <c r="A7" s="6" t="s">
        <v>1</v>
      </c>
      <c r="B7" s="10">
        <v>1</v>
      </c>
      <c r="C7" s="4"/>
      <c r="D7" s="17">
        <v>0</v>
      </c>
      <c r="E7" s="18">
        <f>PI()/2</f>
        <v>1.5707963267948966</v>
      </c>
      <c r="F7" s="14">
        <v>15</v>
      </c>
      <c r="G7" s="14">
        <v>0.99999999999999989</v>
      </c>
      <c r="H7" s="14">
        <v>1.1102230246251564E-14</v>
      </c>
    </row>
    <row r="8" spans="1:8" x14ac:dyDescent="0.25">
      <c r="A8" s="6" t="s">
        <v>34</v>
      </c>
      <c r="B8" s="11">
        <v>1E-10</v>
      </c>
      <c r="D8" s="19">
        <v>0</v>
      </c>
      <c r="E8" s="20">
        <f>PI()</f>
        <v>3.1415926535897931</v>
      </c>
      <c r="F8" s="9">
        <v>15</v>
      </c>
      <c r="G8" s="9">
        <v>2</v>
      </c>
      <c r="H8" s="9">
        <v>2.2204460492503131E-14</v>
      </c>
    </row>
    <row r="9" spans="1:8" x14ac:dyDescent="0.25">
      <c r="A9" s="6" t="s">
        <v>35</v>
      </c>
      <c r="B9" s="10">
        <v>1</v>
      </c>
      <c r="D9" s="19"/>
      <c r="E9" s="20"/>
      <c r="F9" s="9"/>
      <c r="G9" s="9"/>
      <c r="H9" s="9"/>
    </row>
    <row r="10" spans="1:8" x14ac:dyDescent="0.25">
      <c r="A10" s="6" t="s">
        <v>36</v>
      </c>
      <c r="B10" s="10">
        <v>2</v>
      </c>
      <c r="D10" s="19"/>
      <c r="E10" s="20"/>
      <c r="F10" s="9"/>
      <c r="G10" s="9"/>
      <c r="H10" s="9"/>
    </row>
    <row r="11" spans="1:8" x14ac:dyDescent="0.25">
      <c r="D11" s="21"/>
      <c r="E11" s="22"/>
      <c r="F11" s="13"/>
      <c r="G11" s="13"/>
      <c r="H11" s="13"/>
    </row>
    <row r="12" spans="1:8" x14ac:dyDescent="0.25">
      <c r="A12" s="26" t="s">
        <v>12</v>
      </c>
      <c r="D12" s="17"/>
      <c r="E12" s="18"/>
      <c r="F12" s="14"/>
      <c r="G12" s="14"/>
      <c r="H12" s="14"/>
    </row>
    <row r="13" spans="1:8" x14ac:dyDescent="0.25">
      <c r="A13" s="6" t="s">
        <v>60</v>
      </c>
      <c r="B13" s="10">
        <v>0</v>
      </c>
      <c r="D13" s="19"/>
      <c r="E13" s="20"/>
      <c r="F13" s="9"/>
      <c r="G13" s="9"/>
      <c r="H13" s="9"/>
    </row>
    <row r="14" spans="1:8" x14ac:dyDescent="0.25">
      <c r="D14" s="19"/>
      <c r="E14" s="20"/>
      <c r="F14" s="9"/>
      <c r="G14" s="9"/>
      <c r="H14" s="9"/>
    </row>
    <row r="15" spans="1:8" x14ac:dyDescent="0.25">
      <c r="A15" s="26" t="s">
        <v>42</v>
      </c>
      <c r="D15" s="19"/>
      <c r="E15" s="20"/>
      <c r="F15" s="9"/>
      <c r="G15" s="9"/>
      <c r="H15" s="9"/>
    </row>
    <row r="16" spans="1:8" x14ac:dyDescent="0.25">
      <c r="A16" t="s">
        <v>52</v>
      </c>
      <c r="D16" s="21"/>
      <c r="E16" s="22"/>
      <c r="F16" s="13"/>
      <c r="G16" s="13"/>
      <c r="H16" s="13"/>
    </row>
    <row r="17" spans="1:1" x14ac:dyDescent="0.25">
      <c r="A17" t="s">
        <v>53</v>
      </c>
    </row>
  </sheetData>
  <phoneticPr fontId="3"/>
  <dataValidations count="1">
    <dataValidation type="whole" allowBlank="1" showInputMessage="1" showErrorMessage="1" prompt="0: Callback version_x000a_1: Reverse communication version" sqref="B13" xr:uid="{60A3BBA1-BB05-4CEF-84E6-12E8146845B1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tart6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18"/>
  <sheetViews>
    <sheetView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54</v>
      </c>
    </row>
    <row r="2" spans="1:8" x14ac:dyDescent="0.25">
      <c r="A2" s="1"/>
    </row>
    <row r="3" spans="1:8" x14ac:dyDescent="0.25">
      <c r="A3" s="2"/>
      <c r="F3" t="s">
        <v>55</v>
      </c>
    </row>
    <row r="5" spans="1:8" x14ac:dyDescent="0.25">
      <c r="A5" t="s">
        <v>11</v>
      </c>
      <c r="D5" t="s">
        <v>62</v>
      </c>
    </row>
    <row r="6" spans="1:8" x14ac:dyDescent="0.25">
      <c r="A6" s="6" t="s">
        <v>37</v>
      </c>
      <c r="B6" s="7">
        <v>24.946854712054101</v>
      </c>
      <c r="D6" s="15" t="s">
        <v>38</v>
      </c>
      <c r="E6" s="3" t="s">
        <v>5</v>
      </c>
      <c r="F6" s="3" t="s">
        <v>13</v>
      </c>
      <c r="G6" s="3" t="s">
        <v>19</v>
      </c>
      <c r="H6" s="3" t="s">
        <v>15</v>
      </c>
    </row>
    <row r="7" spans="1:8" x14ac:dyDescent="0.25">
      <c r="A7" s="6" t="s">
        <v>1</v>
      </c>
      <c r="B7" s="10">
        <f>EXP(-(B6 ^2))</f>
        <v>5.2330808486974866E-271</v>
      </c>
      <c r="C7" s="4"/>
      <c r="D7" s="17">
        <v>0</v>
      </c>
      <c r="E7" s="23" t="s">
        <v>6</v>
      </c>
      <c r="F7" s="14">
        <v>215</v>
      </c>
      <c r="G7" s="14">
        <v>0.69019422352157134</v>
      </c>
      <c r="H7" s="14">
        <v>2.8511946195088521E-11</v>
      </c>
    </row>
    <row r="8" spans="1:8" x14ac:dyDescent="0.25">
      <c r="A8" s="6" t="s">
        <v>39</v>
      </c>
      <c r="B8" s="11">
        <v>1E-10</v>
      </c>
      <c r="D8" s="19">
        <v>1</v>
      </c>
      <c r="E8" s="24" t="s">
        <v>6</v>
      </c>
      <c r="F8" s="9">
        <v>215</v>
      </c>
      <c r="G8" s="9">
        <v>3.4019860790064672E-2</v>
      </c>
      <c r="H8" s="9">
        <v>1.0544604604530494E-11</v>
      </c>
    </row>
    <row r="9" spans="1:8" x14ac:dyDescent="0.25">
      <c r="A9" s="6" t="s">
        <v>40</v>
      </c>
      <c r="B9" s="10">
        <v>1</v>
      </c>
      <c r="D9" s="19">
        <v>2</v>
      </c>
      <c r="E9" s="24" t="s">
        <v>6</v>
      </c>
      <c r="F9" s="9">
        <v>215</v>
      </c>
      <c r="G9" s="9">
        <v>-2.4172281040247389E-3</v>
      </c>
      <c r="H9" s="9">
        <v>4.712020177392271E-13</v>
      </c>
    </row>
    <row r="10" spans="1:8" x14ac:dyDescent="0.25">
      <c r="A10" s="6" t="s">
        <v>30</v>
      </c>
      <c r="B10" s="10">
        <v>1</v>
      </c>
      <c r="D10" s="19"/>
      <c r="E10" s="24" t="s">
        <v>6</v>
      </c>
      <c r="F10" s="9"/>
      <c r="G10" s="9"/>
      <c r="H10" s="9"/>
    </row>
    <row r="11" spans="1:8" x14ac:dyDescent="0.25">
      <c r="D11" s="21"/>
      <c r="E11" s="25" t="s">
        <v>6</v>
      </c>
      <c r="F11" s="13"/>
      <c r="G11" s="13"/>
      <c r="H11" s="13"/>
    </row>
    <row r="12" spans="1:8" x14ac:dyDescent="0.25">
      <c r="A12" s="26" t="s">
        <v>12</v>
      </c>
      <c r="D12" s="17"/>
      <c r="E12" s="27" t="s">
        <v>6</v>
      </c>
      <c r="F12" s="14"/>
      <c r="G12" s="14"/>
      <c r="H12" s="14"/>
    </row>
    <row r="13" spans="1:8" x14ac:dyDescent="0.25">
      <c r="A13" s="6" t="s">
        <v>7</v>
      </c>
      <c r="B13" s="10">
        <v>0</v>
      </c>
      <c r="D13" s="19"/>
      <c r="E13" s="24" t="s">
        <v>6</v>
      </c>
      <c r="F13" s="9"/>
      <c r="G13" s="9"/>
      <c r="H13" s="9"/>
    </row>
    <row r="14" spans="1:8" x14ac:dyDescent="0.25">
      <c r="A14" s="6" t="s">
        <v>60</v>
      </c>
      <c r="B14" s="10">
        <v>0</v>
      </c>
      <c r="D14" s="19"/>
      <c r="E14" s="24" t="s">
        <v>6</v>
      </c>
      <c r="F14" s="9"/>
      <c r="G14" s="9"/>
      <c r="H14" s="9"/>
    </row>
    <row r="15" spans="1:8" x14ac:dyDescent="0.25">
      <c r="D15" s="19"/>
      <c r="E15" s="24" t="s">
        <v>6</v>
      </c>
      <c r="F15" s="9"/>
      <c r="G15" s="9"/>
      <c r="H15" s="9"/>
    </row>
    <row r="16" spans="1:8" x14ac:dyDescent="0.25">
      <c r="A16" s="26" t="s">
        <v>42</v>
      </c>
      <c r="D16" s="21"/>
      <c r="E16" s="25" t="s">
        <v>6</v>
      </c>
      <c r="F16" s="13"/>
      <c r="G16" s="13"/>
      <c r="H16" s="13"/>
    </row>
    <row r="17" spans="1:1" x14ac:dyDescent="0.25">
      <c r="A17" t="s">
        <v>52</v>
      </c>
    </row>
    <row r="18" spans="1:1" x14ac:dyDescent="0.25">
      <c r="A18" t="s">
        <v>53</v>
      </c>
    </row>
  </sheetData>
  <phoneticPr fontId="3"/>
  <dataValidations count="2">
    <dataValidation type="whole" allowBlank="1" showInputMessage="1" showErrorMessage="1" prompt="0: Callback version_x000a_1: Reverse communication version" sqref="B14" xr:uid="{21397577-9A05-4B14-B3D6-3747CAB1D7DD}">
      <formula1>0</formula1>
      <formula2>1</formula2>
    </dataValidation>
    <dataValidation type="whole" allowBlank="1" showInputMessage="1" showErrorMessage="1" prompt="0: Qawf_x000a_1: Deoint" sqref="B13" xr:uid="{6376378E-1F09-4432-B223-5032A7B1700B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tart7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Finite interval</vt:lpstr>
      <vt:lpstr>Semi-infinite interval</vt:lpstr>
      <vt:lpstr>Infinite interval</vt:lpstr>
      <vt:lpstr>Cauchy principal value</vt:lpstr>
      <vt:lpstr>Singularities at end points</vt:lpstr>
      <vt:lpstr>Oscillatory function</vt:lpstr>
      <vt:lpstr>Fourier integral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Quadrature</dc:title>
  <dc:creator/>
  <dc:description>(C) 2014-2018 K Technologies</dc:description>
  <cp:lastModifiedBy>User</cp:lastModifiedBy>
  <dcterms:created xsi:type="dcterms:W3CDTF">2012-08-03T09:16:08Z</dcterms:created>
  <dcterms:modified xsi:type="dcterms:W3CDTF">2020-03-21T03:08:10Z</dcterms:modified>
</cp:coreProperties>
</file>
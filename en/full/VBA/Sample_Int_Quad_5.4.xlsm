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NWork\XLPack\XLPack54\XLPack\sample\Full\en\VBA\"/>
    </mc:Choice>
  </mc:AlternateContent>
  <xr:revisionPtr revIDLastSave="0" documentId="13_ncr:1_{B626700C-9543-4FE1-A505-F5ED1C723CEE}" xr6:coauthVersionLast="45" xr6:coauthVersionMax="45" xr10:uidLastSave="{00000000-0000-0000-0000-000000000000}"/>
  <bookViews>
    <workbookView xWindow="2730" yWindow="75" windowWidth="28425" windowHeight="21075" xr2:uid="{00000000-000D-0000-FFFF-FFFF00000000}"/>
  </bookViews>
  <sheets>
    <sheet name="Interpolation" sheetId="7" r:id="rId1"/>
    <sheet name="Interpolation (2D)" sheetId="9" r:id="rId2"/>
    <sheet name="Quadrature" sheetId="8" r:id="rId3"/>
    <sheet name="Iterative interpolation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0" l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C18" i="8" l="1"/>
  <c r="C17" i="8"/>
  <c r="C16" i="8"/>
  <c r="C15" i="8"/>
  <c r="C14" i="8"/>
  <c r="C13" i="8"/>
  <c r="C12" i="8"/>
  <c r="C11" i="8"/>
  <c r="C10" i="8"/>
  <c r="C20" i="7" l="1"/>
  <c r="C19" i="7"/>
  <c r="C18" i="7"/>
  <c r="C17" i="7"/>
  <c r="C16" i="7"/>
  <c r="C15" i="7"/>
  <c r="C14" i="7"/>
  <c r="C13" i="7"/>
  <c r="C12" i="7"/>
  <c r="C11" i="7"/>
  <c r="C10" i="7"/>
</calcChain>
</file>

<file path=xl/sharedStrings.xml><?xml version="1.0" encoding="utf-8"?>
<sst xmlns="http://schemas.openxmlformats.org/spreadsheetml/2006/main" count="52" uniqueCount="34">
  <si>
    <t>X(I)</t>
    <phoneticPr fontId="1"/>
  </si>
  <si>
    <t>Y(I)</t>
    <phoneticPr fontId="1"/>
  </si>
  <si>
    <t xml:space="preserve">N = </t>
    <phoneticPr fontId="1"/>
  </si>
  <si>
    <t>X</t>
    <phoneticPr fontId="1"/>
  </si>
  <si>
    <t>Y</t>
    <phoneticPr fontId="1"/>
  </si>
  <si>
    <t>Y</t>
    <phoneticPr fontId="1"/>
  </si>
  <si>
    <t>X</t>
    <phoneticPr fontId="1"/>
  </si>
  <si>
    <t xml:space="preserve">NX = </t>
    <phoneticPr fontId="1"/>
  </si>
  <si>
    <t xml:space="preserve">NY = </t>
    <phoneticPr fontId="1"/>
  </si>
  <si>
    <t xml:space="preserve">Prog = </t>
    <phoneticPr fontId="1"/>
  </si>
  <si>
    <t>Spline (not a knot)</t>
    <phoneticPr fontId="1"/>
  </si>
  <si>
    <t xml:space="preserve">Tol = </t>
    <phoneticPr fontId="1"/>
  </si>
  <si>
    <t>Xe</t>
    <phoneticPr fontId="1"/>
  </si>
  <si>
    <t>Ye</t>
    <phoneticPr fontId="1"/>
  </si>
  <si>
    <t>Error:  2</t>
  </si>
  <si>
    <t>Example: 1/(1 + x^2)</t>
    <phoneticPr fontId="1"/>
  </si>
  <si>
    <t>Quadrature</t>
    <phoneticPr fontId="1"/>
  </si>
  <si>
    <t>Quadrature by interpolation</t>
    <phoneticPr fontId="1"/>
  </si>
  <si>
    <t>Data</t>
    <phoneticPr fontId="1"/>
  </si>
  <si>
    <t>Lower limit</t>
    <phoneticPr fontId="1"/>
  </si>
  <si>
    <t>Upper limit</t>
    <phoneticPr fontId="1"/>
  </si>
  <si>
    <t>Value of integral</t>
    <phoneticPr fontId="1"/>
  </si>
  <si>
    <t>Interpolation (2D)</t>
    <phoneticPr fontId="1"/>
  </si>
  <si>
    <t>Example:</t>
    <phoneticPr fontId="1"/>
  </si>
  <si>
    <t>Incomplete elliptic integral of first kind F(sin(y), sin(x))</t>
    <phoneticPr fontId="1"/>
  </si>
  <si>
    <t>Program</t>
    <phoneticPr fontId="1"/>
  </si>
  <si>
    <t>Interpolation</t>
    <phoneticPr fontId="1"/>
  </si>
  <si>
    <t>Value F(X, Y)</t>
    <phoneticPr fontId="1"/>
  </si>
  <si>
    <t>Example: 1/(1 + 25*x^2)</t>
    <phoneticPr fontId="1"/>
  </si>
  <si>
    <t>Interpolation</t>
  </si>
  <si>
    <t>Abscissa</t>
  </si>
  <si>
    <t>Interpolated value</t>
  </si>
  <si>
    <t>Iterative Lagrange interpolation</t>
    <phoneticPr fontId="1"/>
  </si>
  <si>
    <t>Example: Natural logarithm table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</si>
</sst>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0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>
      <alignment vertical="center"/>
    </xf>
    <xf numFmtId="0" fontId="0" fillId="2" borderId="2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4" fillId="0" borderId="0" xfId="0" applyFont="1" applyFill="1" applyBorder="1" applyAlignment="1">
      <alignment horizontal="left" vertical="center"/>
    </xf>
    <xf numFmtId="0" fontId="0" fillId="3" borderId="18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3" borderId="21" xfId="0" applyFill="1" applyBorder="1">
      <alignment vertical="center"/>
    </xf>
    <xf numFmtId="0" fontId="0" fillId="3" borderId="22" xfId="0" applyFill="1" applyBorder="1">
      <alignment vertical="center"/>
    </xf>
    <xf numFmtId="0" fontId="0" fillId="3" borderId="23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24" xfId="0" applyBorder="1">
      <alignment vertical="center"/>
    </xf>
    <xf numFmtId="0" fontId="0" fillId="3" borderId="25" xfId="0" applyFill="1" applyBorder="1">
      <alignment vertical="center"/>
    </xf>
    <xf numFmtId="0" fontId="0" fillId="3" borderId="26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24" xfId="0" applyFill="1" applyBorder="1">
      <alignment vertical="center"/>
    </xf>
    <xf numFmtId="0" fontId="0" fillId="3" borderId="2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3" borderId="8" xfId="0" applyFill="1" applyBorder="1">
      <alignment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33" xfId="0" applyFill="1" applyBorder="1" applyAlignment="1">
      <alignment horizontal="center" vertical="center"/>
    </xf>
    <xf numFmtId="0" fontId="0" fillId="3" borderId="34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2" borderId="17" xfId="0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2" borderId="6" xfId="0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1390650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1400175</xdr:colOff>
          <xdr:row>1</xdr:row>
          <xdr:rowOff>161925</xdr:rowOff>
        </xdr:from>
        <xdr:to>
          <xdr:col>3</xdr:col>
          <xdr:colOff>1400175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1400175</xdr:colOff>
          <xdr:row>1</xdr:row>
          <xdr:rowOff>161925</xdr:rowOff>
        </xdr:from>
        <xdr:to>
          <xdr:col>3</xdr:col>
          <xdr:colOff>1400175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161925</xdr:rowOff>
        </xdr:from>
        <xdr:to>
          <xdr:col>3</xdr:col>
          <xdr:colOff>1390650</xdr:colOff>
          <xdr:row>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1390650</xdr:colOff>
          <xdr:row>2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1400175</xdr:colOff>
          <xdr:row>1</xdr:row>
          <xdr:rowOff>161925</xdr:rowOff>
        </xdr:from>
        <xdr:to>
          <xdr:col>3</xdr:col>
          <xdr:colOff>1400175</xdr:colOff>
          <xdr:row>2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9"/>
  <sheetViews>
    <sheetView tabSelected="1" workbookViewId="0"/>
  </sheetViews>
  <sheetFormatPr defaultRowHeight="13.5" x14ac:dyDescent="0.15"/>
  <cols>
    <col min="2" max="5" width="12.625" customWidth="1"/>
    <col min="6" max="6" width="9" customWidth="1"/>
  </cols>
  <sheetData>
    <row r="1" spans="1:5" x14ac:dyDescent="0.15">
      <c r="A1" s="48" t="s">
        <v>26</v>
      </c>
    </row>
    <row r="5" spans="1:5" x14ac:dyDescent="0.15">
      <c r="A5" s="1" t="s">
        <v>2</v>
      </c>
      <c r="B5" s="13">
        <v>11</v>
      </c>
      <c r="D5" t="s">
        <v>28</v>
      </c>
    </row>
    <row r="6" spans="1:5" x14ac:dyDescent="0.15">
      <c r="A6" s="1" t="s">
        <v>9</v>
      </c>
      <c r="B6" s="13">
        <v>2</v>
      </c>
    </row>
    <row r="7" spans="1:5" x14ac:dyDescent="0.15">
      <c r="D7" t="s">
        <v>10</v>
      </c>
    </row>
    <row r="8" spans="1:5" x14ac:dyDescent="0.15">
      <c r="A8" s="54"/>
      <c r="B8" s="56" t="s">
        <v>18</v>
      </c>
      <c r="C8" s="57"/>
      <c r="D8" s="56" t="s">
        <v>29</v>
      </c>
      <c r="E8" s="57"/>
    </row>
    <row r="9" spans="1:5" x14ac:dyDescent="0.15">
      <c r="A9" s="55"/>
      <c r="B9" s="2" t="s">
        <v>0</v>
      </c>
      <c r="C9" s="3" t="s">
        <v>1</v>
      </c>
      <c r="D9" s="52" t="s">
        <v>30</v>
      </c>
      <c r="E9" s="53" t="s">
        <v>31</v>
      </c>
    </row>
    <row r="10" spans="1:5" x14ac:dyDescent="0.15">
      <c r="A10" s="4">
        <v>1</v>
      </c>
      <c r="B10" s="7">
        <v>0</v>
      </c>
      <c r="C10" s="8">
        <f>1/(1+25*B10^2)</f>
        <v>1</v>
      </c>
      <c r="D10" s="7">
        <v>0.05</v>
      </c>
      <c r="E10" s="15">
        <v>0.92925602004617947</v>
      </c>
    </row>
    <row r="11" spans="1:5" x14ac:dyDescent="0.15">
      <c r="A11" s="5">
        <v>2</v>
      </c>
      <c r="B11" s="9">
        <v>0.1</v>
      </c>
      <c r="C11" s="10">
        <f t="shared" ref="C11:C20" si="0">1/(1+25*B11^2)</f>
        <v>0.8</v>
      </c>
      <c r="D11" s="9">
        <v>0.15</v>
      </c>
      <c r="E11" s="16">
        <v>0.64574397995382071</v>
      </c>
    </row>
    <row r="12" spans="1:5" x14ac:dyDescent="0.15">
      <c r="A12" s="5">
        <v>3</v>
      </c>
      <c r="B12" s="9">
        <v>0.2</v>
      </c>
      <c r="C12" s="10">
        <f t="shared" si="0"/>
        <v>0.5</v>
      </c>
      <c r="D12" s="9">
        <v>0.25</v>
      </c>
      <c r="E12" s="16">
        <v>0.38872959860007655</v>
      </c>
    </row>
    <row r="13" spans="1:5" x14ac:dyDescent="0.15">
      <c r="A13" s="5">
        <v>4</v>
      </c>
      <c r="B13" s="9">
        <v>0.3</v>
      </c>
      <c r="C13" s="10">
        <f t="shared" si="0"/>
        <v>0.30769230769230771</v>
      </c>
      <c r="D13" s="9">
        <v>0.35</v>
      </c>
      <c r="E13" s="16">
        <v>0.24645301026125777</v>
      </c>
    </row>
    <row r="14" spans="1:5" x14ac:dyDescent="0.15">
      <c r="A14" s="5">
        <v>5</v>
      </c>
      <c r="B14" s="9">
        <v>0.4</v>
      </c>
      <c r="C14" s="10">
        <f t="shared" si="0"/>
        <v>0.19999999999999996</v>
      </c>
      <c r="D14" s="9">
        <v>0.45</v>
      </c>
      <c r="E14" s="16">
        <v>0.16481512428062178</v>
      </c>
    </row>
    <row r="15" spans="1:5" x14ac:dyDescent="0.15">
      <c r="A15" s="5">
        <v>6</v>
      </c>
      <c r="B15" s="9">
        <v>0.5</v>
      </c>
      <c r="C15" s="10">
        <f t="shared" si="0"/>
        <v>0.13793103448275862</v>
      </c>
      <c r="D15" s="9">
        <v>0.55000000000000004</v>
      </c>
      <c r="E15" s="16">
        <v>0.11679975521572443</v>
      </c>
    </row>
    <row r="16" spans="1:5" x14ac:dyDescent="0.15">
      <c r="A16" s="5">
        <v>7</v>
      </c>
      <c r="B16" s="9">
        <v>0.6</v>
      </c>
      <c r="C16" s="10">
        <f t="shared" si="0"/>
        <v>0.1</v>
      </c>
      <c r="D16" s="9">
        <v>0.65</v>
      </c>
      <c r="E16" s="16">
        <v>8.6471541258562351E-2</v>
      </c>
    </row>
    <row r="17" spans="1:5" x14ac:dyDescent="0.15">
      <c r="A17" s="5">
        <v>8</v>
      </c>
      <c r="B17" s="9">
        <v>0.7</v>
      </c>
      <c r="C17" s="10">
        <f t="shared" si="0"/>
        <v>7.5471698113207558E-2</v>
      </c>
      <c r="D17" s="9">
        <v>0.75</v>
      </c>
      <c r="E17" s="16">
        <v>6.638953231231326E-2</v>
      </c>
    </row>
    <row r="18" spans="1:5" x14ac:dyDescent="0.15">
      <c r="A18" s="5">
        <v>9</v>
      </c>
      <c r="B18" s="9">
        <v>0.8</v>
      </c>
      <c r="C18" s="10">
        <f t="shared" si="0"/>
        <v>5.8823529411764691E-2</v>
      </c>
      <c r="D18" s="9">
        <v>0.85</v>
      </c>
      <c r="E18" s="16">
        <v>5.2451461567656302E-2</v>
      </c>
    </row>
    <row r="19" spans="1:5" x14ac:dyDescent="0.15">
      <c r="A19" s="6">
        <v>10</v>
      </c>
      <c r="B19" s="11">
        <v>0.9</v>
      </c>
      <c r="C19" s="12">
        <f t="shared" si="0"/>
        <v>4.7058823529411764E-2</v>
      </c>
      <c r="D19" s="11">
        <v>0.95</v>
      </c>
      <c r="E19" s="17">
        <v>4.2458040694787147E-2</v>
      </c>
    </row>
    <row r="20" spans="1:5" x14ac:dyDescent="0.15">
      <c r="A20" s="4">
        <v>11</v>
      </c>
      <c r="B20" s="7">
        <v>1</v>
      </c>
      <c r="C20" s="8">
        <f t="shared" si="0"/>
        <v>3.8461538461538464E-2</v>
      </c>
      <c r="D20" s="7"/>
      <c r="E20" s="15"/>
    </row>
    <row r="21" spans="1:5" x14ac:dyDescent="0.15">
      <c r="A21" s="5">
        <v>12</v>
      </c>
      <c r="B21" s="9"/>
      <c r="C21" s="10"/>
      <c r="D21" s="9"/>
      <c r="E21" s="16"/>
    </row>
    <row r="22" spans="1:5" x14ac:dyDescent="0.15">
      <c r="A22" s="5">
        <v>13</v>
      </c>
      <c r="B22" s="9"/>
      <c r="C22" s="10"/>
      <c r="D22" s="9"/>
      <c r="E22" s="16"/>
    </row>
    <row r="23" spans="1:5" x14ac:dyDescent="0.15">
      <c r="A23" s="5">
        <v>14</v>
      </c>
      <c r="B23" s="9"/>
      <c r="C23" s="10"/>
      <c r="D23" s="9"/>
      <c r="E23" s="16"/>
    </row>
    <row r="24" spans="1:5" x14ac:dyDescent="0.15">
      <c r="A24" s="5">
        <v>15</v>
      </c>
      <c r="B24" s="9"/>
      <c r="C24" s="10"/>
      <c r="D24" s="9"/>
      <c r="E24" s="16"/>
    </row>
    <row r="25" spans="1:5" x14ac:dyDescent="0.15">
      <c r="A25" s="5">
        <v>16</v>
      </c>
      <c r="B25" s="9"/>
      <c r="C25" s="10"/>
      <c r="D25" s="9"/>
      <c r="E25" s="16"/>
    </row>
    <row r="26" spans="1:5" x14ac:dyDescent="0.15">
      <c r="A26" s="5">
        <v>17</v>
      </c>
      <c r="B26" s="9"/>
      <c r="C26" s="10"/>
      <c r="D26" s="9"/>
      <c r="E26" s="16"/>
    </row>
    <row r="27" spans="1:5" x14ac:dyDescent="0.15">
      <c r="A27" s="5">
        <v>18</v>
      </c>
      <c r="B27" s="9"/>
      <c r="C27" s="10"/>
      <c r="D27" s="9"/>
      <c r="E27" s="16"/>
    </row>
    <row r="28" spans="1:5" x14ac:dyDescent="0.15">
      <c r="A28" s="5">
        <v>19</v>
      </c>
      <c r="B28" s="9"/>
      <c r="C28" s="10"/>
      <c r="D28" s="9"/>
      <c r="E28" s="16"/>
    </row>
    <row r="29" spans="1:5" x14ac:dyDescent="0.15">
      <c r="A29" s="6">
        <v>20</v>
      </c>
      <c r="B29" s="11"/>
      <c r="C29" s="12"/>
      <c r="D29" s="11"/>
      <c r="E29" s="17"/>
    </row>
  </sheetData>
  <mergeCells count="3">
    <mergeCell ref="A8:A9"/>
    <mergeCell ref="B8:C8"/>
    <mergeCell ref="D8:E8"/>
  </mergeCells>
  <phoneticPr fontId="1"/>
  <dataValidations count="1">
    <dataValidation type="whole" allowBlank="1" showInputMessage="1" showErrorMessage="1" prompt="0: Polynomial_x000a_1: Hermite_x000a_2: Spline_x000a_3: Natural spline_x000a_4: B-spline_x000a_5: B-spline (Bintk)" sqref="B6" xr:uid="{00000000-0002-0000-0000-000000000000}">
      <formula1>0</formula1>
      <formula2>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1390650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_1">
                <anchor moveWithCells="1" sizeWithCells="1">
                  <from>
                    <xdr:col>2</xdr:col>
                    <xdr:colOff>1400175</xdr:colOff>
                    <xdr:row>1</xdr:row>
                    <xdr:rowOff>161925</xdr:rowOff>
                  </from>
                  <to>
                    <xdr:col>3</xdr:col>
                    <xdr:colOff>1400175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0"/>
  <sheetViews>
    <sheetView workbookViewId="0"/>
  </sheetViews>
  <sheetFormatPr defaultRowHeight="13.5" x14ac:dyDescent="0.15"/>
  <cols>
    <col min="1" max="1" width="9" customWidth="1"/>
    <col min="2" max="4" width="12.625" customWidth="1"/>
    <col min="5" max="6" width="4" customWidth="1"/>
    <col min="7" max="17" width="10.625" customWidth="1"/>
  </cols>
  <sheetData>
    <row r="1" spans="1:17" x14ac:dyDescent="0.15">
      <c r="A1" s="48" t="s">
        <v>22</v>
      </c>
    </row>
    <row r="5" spans="1:17" x14ac:dyDescent="0.15">
      <c r="A5" t="s">
        <v>25</v>
      </c>
      <c r="G5" s="1" t="s">
        <v>7</v>
      </c>
      <c r="H5" s="13">
        <v>5</v>
      </c>
      <c r="J5" t="s">
        <v>23</v>
      </c>
    </row>
    <row r="6" spans="1:17" x14ac:dyDescent="0.15">
      <c r="A6" s="1" t="s">
        <v>9</v>
      </c>
      <c r="B6" s="13">
        <v>2</v>
      </c>
      <c r="E6" s="30"/>
      <c r="G6" s="1" t="s">
        <v>8</v>
      </c>
      <c r="H6" s="13">
        <v>5</v>
      </c>
      <c r="J6" t="s">
        <v>24</v>
      </c>
    </row>
    <row r="7" spans="1:17" x14ac:dyDescent="0.15">
      <c r="D7" s="46" t="s">
        <v>10</v>
      </c>
      <c r="E7" s="30"/>
      <c r="F7" s="30"/>
      <c r="G7" s="30"/>
    </row>
    <row r="8" spans="1:17" x14ac:dyDescent="0.15">
      <c r="A8" s="18"/>
      <c r="B8" s="60" t="s">
        <v>26</v>
      </c>
      <c r="C8" s="61"/>
      <c r="D8" s="62"/>
      <c r="E8" s="35"/>
      <c r="F8" s="54"/>
      <c r="G8" s="14"/>
      <c r="H8" s="56" t="s">
        <v>18</v>
      </c>
      <c r="I8" s="58"/>
      <c r="J8" s="58"/>
      <c r="K8" s="58"/>
      <c r="L8" s="58"/>
      <c r="M8" s="58"/>
      <c r="N8" s="58"/>
      <c r="O8" s="58"/>
      <c r="P8" s="58"/>
      <c r="Q8" s="59"/>
    </row>
    <row r="9" spans="1:17" x14ac:dyDescent="0.15">
      <c r="A9" s="19"/>
      <c r="B9" s="63"/>
      <c r="C9" s="64"/>
      <c r="D9" s="65"/>
      <c r="E9" s="35"/>
      <c r="F9" s="66"/>
      <c r="G9" s="14" t="s">
        <v>6</v>
      </c>
      <c r="H9" s="41">
        <v>1</v>
      </c>
      <c r="I9" s="44">
        <v>2</v>
      </c>
      <c r="J9" s="44">
        <v>3</v>
      </c>
      <c r="K9" s="44">
        <v>4</v>
      </c>
      <c r="L9" s="42">
        <v>5</v>
      </c>
      <c r="M9" s="41">
        <v>6</v>
      </c>
      <c r="N9" s="44">
        <v>7</v>
      </c>
      <c r="O9" s="44">
        <v>8</v>
      </c>
      <c r="P9" s="44">
        <v>9</v>
      </c>
      <c r="Q9" s="42">
        <v>10</v>
      </c>
    </row>
    <row r="10" spans="1:17" x14ac:dyDescent="0.15">
      <c r="A10" s="19"/>
      <c r="B10" s="2" t="s">
        <v>3</v>
      </c>
      <c r="C10" s="3" t="s">
        <v>4</v>
      </c>
      <c r="D10" s="3" t="s">
        <v>27</v>
      </c>
      <c r="E10" s="30"/>
      <c r="F10" s="14" t="s">
        <v>5</v>
      </c>
      <c r="G10" s="43"/>
      <c r="H10" s="7">
        <v>50</v>
      </c>
      <c r="I10" s="21">
        <v>60</v>
      </c>
      <c r="J10" s="21">
        <v>70</v>
      </c>
      <c r="K10" s="21">
        <v>80</v>
      </c>
      <c r="L10" s="8">
        <v>90</v>
      </c>
      <c r="M10" s="7"/>
      <c r="N10" s="21"/>
      <c r="O10" s="21"/>
      <c r="P10" s="21"/>
      <c r="Q10" s="8"/>
    </row>
    <row r="11" spans="1:17" x14ac:dyDescent="0.15">
      <c r="A11" s="4">
        <v>1</v>
      </c>
      <c r="B11" s="7">
        <v>55</v>
      </c>
      <c r="C11" s="8">
        <v>51</v>
      </c>
      <c r="D11" s="15">
        <v>0.97474897460937504</v>
      </c>
      <c r="E11" s="30"/>
      <c r="F11" s="36">
        <v>1</v>
      </c>
      <c r="G11" s="37">
        <v>50</v>
      </c>
      <c r="H11" s="7">
        <v>0.94010000000000005</v>
      </c>
      <c r="I11" s="21">
        <v>0.9647</v>
      </c>
      <c r="J11" s="21">
        <v>0.98760000000000003</v>
      </c>
      <c r="K11" s="21">
        <v>1.0044</v>
      </c>
      <c r="L11" s="8">
        <v>1.0106999999999999</v>
      </c>
      <c r="M11" s="7"/>
      <c r="N11" s="21"/>
      <c r="O11" s="21"/>
      <c r="P11" s="21"/>
      <c r="Q11" s="8"/>
    </row>
    <row r="12" spans="1:17" x14ac:dyDescent="0.15">
      <c r="A12" s="5">
        <v>2</v>
      </c>
      <c r="B12" s="9">
        <v>65</v>
      </c>
      <c r="C12" s="10">
        <v>53</v>
      </c>
      <c r="D12" s="16">
        <v>1.050895068359375</v>
      </c>
      <c r="E12" s="30"/>
      <c r="F12" s="28">
        <v>2</v>
      </c>
      <c r="G12" s="38">
        <v>52</v>
      </c>
      <c r="H12" s="9">
        <v>0.98350000000000004</v>
      </c>
      <c r="I12" s="22">
        <v>1.0118</v>
      </c>
      <c r="J12" s="22">
        <v>1.0387</v>
      </c>
      <c r="K12" s="22">
        <v>1.0587</v>
      </c>
      <c r="L12" s="10">
        <v>1.0662</v>
      </c>
      <c r="M12" s="9"/>
      <c r="N12" s="22"/>
      <c r="O12" s="22"/>
      <c r="P12" s="22"/>
      <c r="Q12" s="10"/>
    </row>
    <row r="13" spans="1:17" x14ac:dyDescent="0.15">
      <c r="A13" s="5">
        <v>3</v>
      </c>
      <c r="B13" s="9">
        <v>75</v>
      </c>
      <c r="C13" s="10">
        <v>55</v>
      </c>
      <c r="D13" s="16">
        <v>1.132985498046875</v>
      </c>
      <c r="E13" s="30"/>
      <c r="F13" s="28">
        <v>3</v>
      </c>
      <c r="G13" s="38">
        <v>54</v>
      </c>
      <c r="H13" s="9">
        <v>1.0277000000000001</v>
      </c>
      <c r="I13" s="22">
        <v>1.0602</v>
      </c>
      <c r="J13" s="22">
        <v>1.0914999999999999</v>
      </c>
      <c r="K13" s="22">
        <v>1.1152</v>
      </c>
      <c r="L13" s="10">
        <v>1.1242000000000001</v>
      </c>
      <c r="M13" s="9"/>
      <c r="N13" s="22"/>
      <c r="O13" s="22"/>
      <c r="P13" s="22"/>
      <c r="Q13" s="10"/>
    </row>
    <row r="14" spans="1:17" x14ac:dyDescent="0.15">
      <c r="A14" s="5">
        <v>4</v>
      </c>
      <c r="B14" s="9">
        <v>85</v>
      </c>
      <c r="C14" s="10">
        <v>57</v>
      </c>
      <c r="D14" s="16">
        <v>1.2137917480468747</v>
      </c>
      <c r="E14" s="30"/>
      <c r="F14" s="28">
        <v>4</v>
      </c>
      <c r="G14" s="38">
        <v>56</v>
      </c>
      <c r="H14" s="9">
        <v>1.0725</v>
      </c>
      <c r="I14" s="22">
        <v>1.1096999999999999</v>
      </c>
      <c r="J14" s="22">
        <v>1.1462000000000001</v>
      </c>
      <c r="K14" s="22">
        <v>1.1742999999999999</v>
      </c>
      <c r="L14" s="10">
        <v>1.1851</v>
      </c>
      <c r="M14" s="9"/>
      <c r="N14" s="22"/>
      <c r="O14" s="22"/>
      <c r="P14" s="22"/>
      <c r="Q14" s="10"/>
    </row>
    <row r="15" spans="1:17" x14ac:dyDescent="0.15">
      <c r="A15" s="6">
        <v>5</v>
      </c>
      <c r="B15" s="11">
        <v>55</v>
      </c>
      <c r="C15" s="12">
        <v>57</v>
      </c>
      <c r="D15" s="17">
        <v>1.114572216796875</v>
      </c>
      <c r="E15" s="30"/>
      <c r="F15" s="29">
        <v>5</v>
      </c>
      <c r="G15" s="39">
        <v>58</v>
      </c>
      <c r="H15" s="11">
        <v>1.1180000000000001</v>
      </c>
      <c r="I15" s="23">
        <v>1.1605000000000001</v>
      </c>
      <c r="J15" s="23">
        <v>1.2030000000000001</v>
      </c>
      <c r="K15" s="23">
        <v>1.2362</v>
      </c>
      <c r="L15" s="12">
        <v>1.2492000000000001</v>
      </c>
      <c r="M15" s="11"/>
      <c r="N15" s="23"/>
      <c r="O15" s="23"/>
      <c r="P15" s="23"/>
      <c r="Q15" s="12"/>
    </row>
    <row r="16" spans="1:17" x14ac:dyDescent="0.15">
      <c r="A16" s="31">
        <v>6</v>
      </c>
      <c r="B16" s="32">
        <v>65</v>
      </c>
      <c r="C16" s="33">
        <v>55</v>
      </c>
      <c r="D16" s="34">
        <v>1.1022487792968749</v>
      </c>
      <c r="E16" s="30"/>
      <c r="F16" s="27">
        <v>6</v>
      </c>
      <c r="G16" s="40"/>
      <c r="H16" s="32"/>
      <c r="I16" s="45"/>
      <c r="J16" s="45"/>
      <c r="K16" s="45"/>
      <c r="L16" s="33"/>
      <c r="M16" s="32"/>
      <c r="N16" s="45"/>
      <c r="O16" s="45"/>
      <c r="P16" s="45"/>
      <c r="Q16" s="33"/>
    </row>
    <row r="17" spans="1:17" x14ac:dyDescent="0.15">
      <c r="A17" s="5">
        <v>7</v>
      </c>
      <c r="B17" s="9">
        <v>75</v>
      </c>
      <c r="C17" s="10">
        <v>53</v>
      </c>
      <c r="D17" s="16">
        <v>1.077055224609375</v>
      </c>
      <c r="E17" s="30"/>
      <c r="F17" s="28">
        <v>7</v>
      </c>
      <c r="G17" s="38"/>
      <c r="H17" s="9"/>
      <c r="I17" s="22"/>
      <c r="J17" s="22"/>
      <c r="K17" s="22"/>
      <c r="L17" s="10"/>
      <c r="M17" s="9"/>
      <c r="N17" s="22"/>
      <c r="O17" s="22"/>
      <c r="P17" s="22"/>
      <c r="Q17" s="10"/>
    </row>
    <row r="18" spans="1:17" x14ac:dyDescent="0.15">
      <c r="A18" s="5">
        <v>8</v>
      </c>
      <c r="B18" s="9">
        <v>85</v>
      </c>
      <c r="C18" s="10">
        <v>51</v>
      </c>
      <c r="D18" s="16">
        <v>1.0364794433593749</v>
      </c>
      <c r="E18" s="30"/>
      <c r="F18" s="28">
        <v>8</v>
      </c>
      <c r="G18" s="38"/>
      <c r="H18" s="9"/>
      <c r="I18" s="22"/>
      <c r="J18" s="22"/>
      <c r="K18" s="22"/>
      <c r="L18" s="10"/>
      <c r="M18" s="9"/>
      <c r="N18" s="22"/>
      <c r="O18" s="22"/>
      <c r="P18" s="22"/>
      <c r="Q18" s="10"/>
    </row>
    <row r="19" spans="1:17" x14ac:dyDescent="0.15">
      <c r="A19" s="5">
        <v>9</v>
      </c>
      <c r="B19" s="9"/>
      <c r="C19" s="10"/>
      <c r="D19" s="16"/>
      <c r="E19" s="30"/>
      <c r="F19" s="28">
        <v>9</v>
      </c>
      <c r="G19" s="38"/>
      <c r="H19" s="9"/>
      <c r="I19" s="22"/>
      <c r="J19" s="22"/>
      <c r="K19" s="22"/>
      <c r="L19" s="10"/>
      <c r="M19" s="9"/>
      <c r="N19" s="22"/>
      <c r="O19" s="22"/>
      <c r="P19" s="22"/>
      <c r="Q19" s="10"/>
    </row>
    <row r="20" spans="1:17" x14ac:dyDescent="0.15">
      <c r="A20" s="6">
        <v>10</v>
      </c>
      <c r="B20" s="11"/>
      <c r="C20" s="12"/>
      <c r="D20" s="17"/>
      <c r="E20" s="30"/>
      <c r="F20" s="29">
        <v>10</v>
      </c>
      <c r="G20" s="39"/>
      <c r="H20" s="11"/>
      <c r="I20" s="23"/>
      <c r="J20" s="23"/>
      <c r="K20" s="23"/>
      <c r="L20" s="12"/>
      <c r="M20" s="11"/>
      <c r="N20" s="23"/>
      <c r="O20" s="23"/>
      <c r="P20" s="23"/>
      <c r="Q20" s="12"/>
    </row>
  </sheetData>
  <mergeCells count="3">
    <mergeCell ref="H8:Q8"/>
    <mergeCell ref="B8:D9"/>
    <mergeCell ref="F8:F9"/>
  </mergeCells>
  <phoneticPr fontId="1"/>
  <dataValidations count="1">
    <dataValidation type="whole" allowBlank="1" showInputMessage="1" showErrorMessage="1" prompt="1: Hermite_x000a_2: Spline_x000a_3: Natural spline" sqref="B6" xr:uid="{00000000-0002-0000-0100-000000000000}">
      <formula1>1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_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_2">
                <anchor moveWithCells="1" sizeWithCells="1">
                  <from>
                    <xdr:col>2</xdr:col>
                    <xdr:colOff>1400175</xdr:colOff>
                    <xdr:row>1</xdr:row>
                    <xdr:rowOff>161925</xdr:rowOff>
                  </from>
                  <to>
                    <xdr:col>3</xdr:col>
                    <xdr:colOff>1400175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29"/>
  <sheetViews>
    <sheetView workbookViewId="0"/>
  </sheetViews>
  <sheetFormatPr defaultRowHeight="13.5" x14ac:dyDescent="0.15"/>
  <cols>
    <col min="2" max="6" width="12.625" customWidth="1"/>
  </cols>
  <sheetData>
    <row r="1" spans="1:6" x14ac:dyDescent="0.15">
      <c r="A1" s="48" t="s">
        <v>17</v>
      </c>
    </row>
    <row r="2" spans="1:6" x14ac:dyDescent="0.15">
      <c r="A2" s="20"/>
    </row>
    <row r="3" spans="1:6" x14ac:dyDescent="0.15">
      <c r="A3" s="20"/>
    </row>
    <row r="5" spans="1:6" x14ac:dyDescent="0.15">
      <c r="A5" s="1" t="s">
        <v>2</v>
      </c>
      <c r="B5" s="13">
        <v>9</v>
      </c>
      <c r="D5" t="s">
        <v>15</v>
      </c>
      <c r="E5" s="30"/>
    </row>
    <row r="6" spans="1:6" x14ac:dyDescent="0.15">
      <c r="A6" s="1" t="s">
        <v>9</v>
      </c>
      <c r="B6" s="13">
        <v>2</v>
      </c>
      <c r="E6" s="30"/>
    </row>
    <row r="7" spans="1:6" x14ac:dyDescent="0.15">
      <c r="D7" t="s">
        <v>10</v>
      </c>
    </row>
    <row r="8" spans="1:6" x14ac:dyDescent="0.15">
      <c r="A8" s="54"/>
      <c r="B8" s="56" t="s">
        <v>18</v>
      </c>
      <c r="C8" s="57"/>
      <c r="D8" s="56" t="s">
        <v>16</v>
      </c>
      <c r="E8" s="67"/>
      <c r="F8" s="59"/>
    </row>
    <row r="9" spans="1:6" x14ac:dyDescent="0.15">
      <c r="A9" s="55"/>
      <c r="B9" s="2" t="s">
        <v>0</v>
      </c>
      <c r="C9" s="3" t="s">
        <v>1</v>
      </c>
      <c r="D9" s="2" t="s">
        <v>19</v>
      </c>
      <c r="E9" s="47" t="s">
        <v>20</v>
      </c>
      <c r="F9" s="14" t="s">
        <v>21</v>
      </c>
    </row>
    <row r="10" spans="1:6" x14ac:dyDescent="0.15">
      <c r="A10" s="4">
        <v>1</v>
      </c>
      <c r="B10" s="7">
        <v>0</v>
      </c>
      <c r="C10" s="8">
        <f>1/(1+B10^2)</f>
        <v>1</v>
      </c>
      <c r="D10" s="7">
        <v>0</v>
      </c>
      <c r="E10" s="24">
        <v>4</v>
      </c>
      <c r="F10" s="27">
        <v>1.3233227825861418</v>
      </c>
    </row>
    <row r="11" spans="1:6" x14ac:dyDescent="0.15">
      <c r="A11" s="5">
        <v>2</v>
      </c>
      <c r="B11" s="9">
        <v>0.5</v>
      </c>
      <c r="C11" s="10">
        <f t="shared" ref="C11:C18" si="0">1/(1+B11^2)</f>
        <v>0.8</v>
      </c>
      <c r="D11" s="9">
        <v>0</v>
      </c>
      <c r="E11" s="25">
        <v>1</v>
      </c>
      <c r="F11" s="28">
        <v>0.78333333333333344</v>
      </c>
    </row>
    <row r="12" spans="1:6" x14ac:dyDescent="0.15">
      <c r="A12" s="5">
        <v>3</v>
      </c>
      <c r="B12" s="9">
        <v>1</v>
      </c>
      <c r="C12" s="10">
        <f t="shared" si="0"/>
        <v>0.5</v>
      </c>
      <c r="D12" s="9">
        <v>1</v>
      </c>
      <c r="E12" s="25">
        <v>2</v>
      </c>
      <c r="F12" s="28">
        <v>0.32134301039984969</v>
      </c>
    </row>
    <row r="13" spans="1:6" x14ac:dyDescent="0.15">
      <c r="A13" s="5">
        <v>4</v>
      </c>
      <c r="B13" s="9">
        <v>1.5</v>
      </c>
      <c r="C13" s="10">
        <f t="shared" si="0"/>
        <v>0.30769230769230771</v>
      </c>
      <c r="D13" s="9">
        <v>2</v>
      </c>
      <c r="E13" s="25">
        <v>3</v>
      </c>
      <c r="F13" s="28">
        <v>0.14186138520885944</v>
      </c>
    </row>
    <row r="14" spans="1:6" x14ac:dyDescent="0.15">
      <c r="A14" s="5">
        <v>5</v>
      </c>
      <c r="B14" s="9">
        <v>2</v>
      </c>
      <c r="C14" s="10">
        <f t="shared" si="0"/>
        <v>0.2</v>
      </c>
      <c r="D14" s="9">
        <v>3</v>
      </c>
      <c r="E14" s="25">
        <v>4</v>
      </c>
      <c r="F14" s="28">
        <v>7.6785053644099155E-2</v>
      </c>
    </row>
    <row r="15" spans="1:6" x14ac:dyDescent="0.15">
      <c r="A15" s="5">
        <v>6</v>
      </c>
      <c r="B15" s="9">
        <v>2.5</v>
      </c>
      <c r="C15" s="10">
        <f t="shared" si="0"/>
        <v>0.13793103448275862</v>
      </c>
      <c r="D15" s="9"/>
      <c r="E15" s="25"/>
      <c r="F15" s="28"/>
    </row>
    <row r="16" spans="1:6" x14ac:dyDescent="0.15">
      <c r="A16" s="5">
        <v>7</v>
      </c>
      <c r="B16" s="9">
        <v>3</v>
      </c>
      <c r="C16" s="10">
        <f t="shared" si="0"/>
        <v>0.1</v>
      </c>
      <c r="D16" s="9"/>
      <c r="E16" s="25"/>
      <c r="F16" s="28"/>
    </row>
    <row r="17" spans="1:6" x14ac:dyDescent="0.15">
      <c r="A17" s="5">
        <v>8</v>
      </c>
      <c r="B17" s="9">
        <v>3.5</v>
      </c>
      <c r="C17" s="10">
        <f t="shared" si="0"/>
        <v>7.5471698113207544E-2</v>
      </c>
      <c r="D17" s="9"/>
      <c r="E17" s="25"/>
      <c r="F17" s="28"/>
    </row>
    <row r="18" spans="1:6" x14ac:dyDescent="0.15">
      <c r="A18" s="5">
        <v>9</v>
      </c>
      <c r="B18" s="9">
        <v>4</v>
      </c>
      <c r="C18" s="10">
        <f t="shared" si="0"/>
        <v>5.8823529411764705E-2</v>
      </c>
      <c r="D18" s="9"/>
      <c r="E18" s="25"/>
      <c r="F18" s="28"/>
    </row>
    <row r="19" spans="1:6" x14ac:dyDescent="0.15">
      <c r="A19" s="6">
        <v>10</v>
      </c>
      <c r="B19" s="11"/>
      <c r="C19" s="12"/>
      <c r="D19" s="11"/>
      <c r="E19" s="26"/>
      <c r="F19" s="29"/>
    </row>
    <row r="20" spans="1:6" x14ac:dyDescent="0.15">
      <c r="A20" s="4">
        <v>11</v>
      </c>
      <c r="B20" s="7"/>
      <c r="C20" s="8"/>
      <c r="D20" s="7"/>
      <c r="E20" s="24"/>
      <c r="F20" s="27"/>
    </row>
    <row r="21" spans="1:6" x14ac:dyDescent="0.15">
      <c r="A21" s="5">
        <v>12</v>
      </c>
      <c r="B21" s="9"/>
      <c r="C21" s="10"/>
      <c r="D21" s="9"/>
      <c r="E21" s="25"/>
      <c r="F21" s="28"/>
    </row>
    <row r="22" spans="1:6" x14ac:dyDescent="0.15">
      <c r="A22" s="5">
        <v>13</v>
      </c>
      <c r="B22" s="9"/>
      <c r="C22" s="10"/>
      <c r="D22" s="9"/>
      <c r="E22" s="25"/>
      <c r="F22" s="28"/>
    </row>
    <row r="23" spans="1:6" x14ac:dyDescent="0.15">
      <c r="A23" s="5">
        <v>14</v>
      </c>
      <c r="B23" s="9"/>
      <c r="C23" s="10"/>
      <c r="D23" s="9"/>
      <c r="E23" s="25"/>
      <c r="F23" s="28"/>
    </row>
    <row r="24" spans="1:6" x14ac:dyDescent="0.15">
      <c r="A24" s="5">
        <v>15</v>
      </c>
      <c r="B24" s="9"/>
      <c r="C24" s="10"/>
      <c r="D24" s="9"/>
      <c r="E24" s="25"/>
      <c r="F24" s="28"/>
    </row>
    <row r="25" spans="1:6" x14ac:dyDescent="0.15">
      <c r="A25" s="5">
        <v>16</v>
      </c>
      <c r="B25" s="9"/>
      <c r="C25" s="10"/>
      <c r="D25" s="9"/>
      <c r="E25" s="25"/>
      <c r="F25" s="28"/>
    </row>
    <row r="26" spans="1:6" x14ac:dyDescent="0.15">
      <c r="A26" s="5">
        <v>17</v>
      </c>
      <c r="B26" s="9"/>
      <c r="C26" s="10"/>
      <c r="D26" s="9"/>
      <c r="E26" s="25"/>
      <c r="F26" s="28"/>
    </row>
    <row r="27" spans="1:6" x14ac:dyDescent="0.15">
      <c r="A27" s="5">
        <v>18</v>
      </c>
      <c r="B27" s="9"/>
      <c r="C27" s="10"/>
      <c r="D27" s="9"/>
      <c r="E27" s="25"/>
      <c r="F27" s="28"/>
    </row>
    <row r="28" spans="1:6" x14ac:dyDescent="0.15">
      <c r="A28" s="5">
        <v>19</v>
      </c>
      <c r="B28" s="9"/>
      <c r="C28" s="10"/>
      <c r="D28" s="9"/>
      <c r="E28" s="25"/>
      <c r="F28" s="28"/>
    </row>
    <row r="29" spans="1:6" x14ac:dyDescent="0.15">
      <c r="A29" s="6">
        <v>20</v>
      </c>
      <c r="B29" s="11"/>
      <c r="C29" s="12"/>
      <c r="D29" s="11"/>
      <c r="E29" s="26"/>
      <c r="F29" s="29"/>
    </row>
  </sheetData>
  <mergeCells count="3">
    <mergeCell ref="A8:A9"/>
    <mergeCell ref="B8:C8"/>
    <mergeCell ref="D8:F8"/>
  </mergeCells>
  <phoneticPr fontId="1"/>
  <dataValidations count="1">
    <dataValidation type="whole" allowBlank="1" showInputMessage="1" showErrorMessage="1" prompt="0: Palabola fitting_x000a_1: Hermite_x000a_2: Spline_x000a_3: Natural spline_x000a_4: B-spline_x000a_5: B-spline (Bintk)" sqref="B6" xr:uid="{00000000-0002-0000-0200-000000000000}">
      <formula1>0</formula1>
      <formula2>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_3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_3">
                <anchor moveWithCells="1" sizeWithCells="1">
                  <from>
                    <xdr:col>2</xdr:col>
                    <xdr:colOff>1390650</xdr:colOff>
                    <xdr:row>1</xdr:row>
                    <xdr:rowOff>161925</xdr:rowOff>
                  </from>
                  <to>
                    <xdr:col>3</xdr:col>
                    <xdr:colOff>1390650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5CB01-2336-4038-B4FE-76305F16BCA2}">
  <sheetPr codeName="Sheet4"/>
  <dimension ref="A1:E28"/>
  <sheetViews>
    <sheetView workbookViewId="0"/>
  </sheetViews>
  <sheetFormatPr defaultRowHeight="13.5" x14ac:dyDescent="0.15"/>
  <cols>
    <col min="2" max="5" width="12.625" customWidth="1"/>
    <col min="6" max="6" width="9" customWidth="1"/>
  </cols>
  <sheetData>
    <row r="1" spans="1:5" x14ac:dyDescent="0.15">
      <c r="A1" s="48" t="s">
        <v>32</v>
      </c>
    </row>
    <row r="5" spans="1:5" x14ac:dyDescent="0.15">
      <c r="A5" s="1" t="s">
        <v>11</v>
      </c>
      <c r="B5" s="13">
        <v>1E-4</v>
      </c>
      <c r="D5" t="s">
        <v>33</v>
      </c>
    </row>
    <row r="7" spans="1:5" x14ac:dyDescent="0.15">
      <c r="A7" s="54"/>
      <c r="B7" s="56" t="s">
        <v>18</v>
      </c>
      <c r="C7" s="57"/>
      <c r="D7" s="56" t="s">
        <v>26</v>
      </c>
      <c r="E7" s="57"/>
    </row>
    <row r="8" spans="1:5" x14ac:dyDescent="0.15">
      <c r="A8" s="55"/>
      <c r="B8" s="2" t="s">
        <v>0</v>
      </c>
      <c r="C8" s="3" t="s">
        <v>1</v>
      </c>
      <c r="D8" s="2" t="s">
        <v>12</v>
      </c>
      <c r="E8" s="3" t="s">
        <v>13</v>
      </c>
    </row>
    <row r="9" spans="1:5" x14ac:dyDescent="0.15">
      <c r="A9" s="4">
        <v>1</v>
      </c>
      <c r="B9" s="7">
        <v>0.1</v>
      </c>
      <c r="C9" s="8">
        <v>2.3026</v>
      </c>
      <c r="D9" s="7">
        <v>0</v>
      </c>
      <c r="E9" s="49" t="s">
        <v>14</v>
      </c>
    </row>
    <row r="10" spans="1:5" x14ac:dyDescent="0.15">
      <c r="A10" s="5">
        <v>2</v>
      </c>
      <c r="B10" s="9">
        <f>B9+0.1</f>
        <v>0.2</v>
      </c>
      <c r="C10" s="10">
        <v>1.6093999999999999</v>
      </c>
      <c r="D10" s="9">
        <v>0.26500000000000001</v>
      </c>
      <c r="E10" s="50" t="s">
        <v>14</v>
      </c>
    </row>
    <row r="11" spans="1:5" x14ac:dyDescent="0.15">
      <c r="A11" s="5">
        <v>3</v>
      </c>
      <c r="B11" s="9">
        <f t="shared" ref="B11:B28" si="0">B10+0.1</f>
        <v>0.30000000000000004</v>
      </c>
      <c r="C11" s="10">
        <v>1.204</v>
      </c>
      <c r="D11" s="9">
        <v>0.42099999999999999</v>
      </c>
      <c r="E11" s="50">
        <v>0.86507805575600505</v>
      </c>
    </row>
    <row r="12" spans="1:5" x14ac:dyDescent="0.15">
      <c r="A12" s="5">
        <v>4</v>
      </c>
      <c r="B12" s="9">
        <f t="shared" si="0"/>
        <v>0.4</v>
      </c>
      <c r="C12" s="10">
        <v>0.9163</v>
      </c>
      <c r="D12" s="9">
        <v>0.624</v>
      </c>
      <c r="E12" s="50">
        <v>0.4716053655039999</v>
      </c>
    </row>
    <row r="13" spans="1:5" x14ac:dyDescent="0.15">
      <c r="A13" s="5">
        <v>5</v>
      </c>
      <c r="B13" s="9">
        <f t="shared" si="0"/>
        <v>0.5</v>
      </c>
      <c r="C13" s="10">
        <v>0.69320000000000004</v>
      </c>
      <c r="D13" s="9">
        <v>0.81100000000000005</v>
      </c>
      <c r="E13" s="50">
        <v>0.2094398963999998</v>
      </c>
    </row>
    <row r="14" spans="1:5" x14ac:dyDescent="0.15">
      <c r="A14" s="5">
        <v>6</v>
      </c>
      <c r="B14" s="9">
        <f t="shared" si="0"/>
        <v>0.6</v>
      </c>
      <c r="C14" s="10">
        <v>0.51080000000000003</v>
      </c>
      <c r="D14" s="9">
        <v>0.94499999999999995</v>
      </c>
      <c r="E14" s="50" t="s">
        <v>14</v>
      </c>
    </row>
    <row r="15" spans="1:5" x14ac:dyDescent="0.15">
      <c r="A15" s="5">
        <v>7</v>
      </c>
      <c r="B15" s="9">
        <f t="shared" si="0"/>
        <v>0.7</v>
      </c>
      <c r="C15" s="10">
        <v>0.35670000000000002</v>
      </c>
      <c r="D15" s="9">
        <v>1.1399999999999999</v>
      </c>
      <c r="E15" s="50">
        <v>0.13101760000000001</v>
      </c>
    </row>
    <row r="16" spans="1:5" x14ac:dyDescent="0.15">
      <c r="A16" s="5">
        <v>8</v>
      </c>
      <c r="B16" s="9">
        <f t="shared" si="0"/>
        <v>0.79999999999999993</v>
      </c>
      <c r="C16" s="10">
        <v>0.22309999999999999</v>
      </c>
      <c r="D16" s="9">
        <v>1.56</v>
      </c>
      <c r="E16" s="50">
        <v>0.44470159999999986</v>
      </c>
    </row>
    <row r="17" spans="1:5" x14ac:dyDescent="0.15">
      <c r="A17" s="5">
        <v>9</v>
      </c>
      <c r="B17" s="9">
        <f t="shared" si="0"/>
        <v>0.89999999999999991</v>
      </c>
      <c r="C17" s="10">
        <v>0.10539999999999999</v>
      </c>
      <c r="D17" s="9">
        <v>1.88</v>
      </c>
      <c r="E17" s="50">
        <v>0.63131359999999959</v>
      </c>
    </row>
    <row r="18" spans="1:5" x14ac:dyDescent="0.15">
      <c r="A18" s="6">
        <v>10</v>
      </c>
      <c r="B18" s="11">
        <f t="shared" si="0"/>
        <v>0.99999999999999989</v>
      </c>
      <c r="C18" s="12">
        <v>0</v>
      </c>
      <c r="D18" s="11">
        <v>1.99</v>
      </c>
      <c r="E18" s="51" t="s">
        <v>14</v>
      </c>
    </row>
    <row r="19" spans="1:5" x14ac:dyDescent="0.15">
      <c r="A19" s="4">
        <v>11</v>
      </c>
      <c r="B19" s="7">
        <f t="shared" si="0"/>
        <v>1.0999999999999999</v>
      </c>
      <c r="C19" s="8">
        <v>9.5299999999999996E-2</v>
      </c>
      <c r="D19" s="7">
        <v>2.1</v>
      </c>
      <c r="E19" s="49" t="s">
        <v>14</v>
      </c>
    </row>
    <row r="20" spans="1:5" x14ac:dyDescent="0.15">
      <c r="A20" s="5">
        <v>12</v>
      </c>
      <c r="B20" s="9">
        <f t="shared" si="0"/>
        <v>1.2</v>
      </c>
      <c r="C20" s="10">
        <v>0.18229999999999999</v>
      </c>
      <c r="D20" s="9"/>
      <c r="E20" s="50"/>
    </row>
    <row r="21" spans="1:5" x14ac:dyDescent="0.15">
      <c r="A21" s="5">
        <v>13</v>
      </c>
      <c r="B21" s="9">
        <f t="shared" si="0"/>
        <v>1.3</v>
      </c>
      <c r="C21" s="10">
        <v>0.26240000000000002</v>
      </c>
      <c r="D21" s="9"/>
      <c r="E21" s="50"/>
    </row>
    <row r="22" spans="1:5" x14ac:dyDescent="0.15">
      <c r="A22" s="5">
        <v>14</v>
      </c>
      <c r="B22" s="9">
        <f t="shared" si="0"/>
        <v>1.4000000000000001</v>
      </c>
      <c r="C22" s="10">
        <v>0.33650000000000002</v>
      </c>
      <c r="D22" s="9"/>
      <c r="E22" s="50"/>
    </row>
    <row r="23" spans="1:5" x14ac:dyDescent="0.15">
      <c r="A23" s="5">
        <v>15</v>
      </c>
      <c r="B23" s="9">
        <f t="shared" si="0"/>
        <v>1.5000000000000002</v>
      </c>
      <c r="C23" s="10">
        <v>0.40550000000000003</v>
      </c>
      <c r="D23" s="9"/>
      <c r="E23" s="50"/>
    </row>
    <row r="24" spans="1:5" x14ac:dyDescent="0.15">
      <c r="A24" s="5">
        <v>16</v>
      </c>
      <c r="B24" s="9">
        <f t="shared" si="0"/>
        <v>1.6000000000000003</v>
      </c>
      <c r="C24" s="10">
        <v>0.47</v>
      </c>
      <c r="D24" s="9"/>
      <c r="E24" s="50"/>
    </row>
    <row r="25" spans="1:5" x14ac:dyDescent="0.15">
      <c r="A25" s="5">
        <v>17</v>
      </c>
      <c r="B25" s="9">
        <f t="shared" si="0"/>
        <v>1.7000000000000004</v>
      </c>
      <c r="C25" s="10">
        <v>0.53059999999999996</v>
      </c>
      <c r="D25" s="9"/>
      <c r="E25" s="50"/>
    </row>
    <row r="26" spans="1:5" x14ac:dyDescent="0.15">
      <c r="A26" s="5">
        <v>18</v>
      </c>
      <c r="B26" s="9">
        <f t="shared" si="0"/>
        <v>1.8000000000000005</v>
      </c>
      <c r="C26" s="10">
        <v>0.58779999999999999</v>
      </c>
      <c r="D26" s="9"/>
      <c r="E26" s="50"/>
    </row>
    <row r="27" spans="1:5" x14ac:dyDescent="0.15">
      <c r="A27" s="5">
        <v>19</v>
      </c>
      <c r="B27" s="9">
        <f t="shared" si="0"/>
        <v>1.9000000000000006</v>
      </c>
      <c r="C27" s="10">
        <v>0.64190000000000003</v>
      </c>
      <c r="D27" s="9"/>
      <c r="E27" s="50"/>
    </row>
    <row r="28" spans="1:5" x14ac:dyDescent="0.15">
      <c r="A28" s="6">
        <v>20</v>
      </c>
      <c r="B28" s="11">
        <f t="shared" si="0"/>
        <v>2.0000000000000004</v>
      </c>
      <c r="C28" s="12">
        <v>0.69320000000000004</v>
      </c>
      <c r="D28" s="11"/>
      <c r="E28" s="51"/>
    </row>
  </sheetData>
  <mergeCells count="3">
    <mergeCell ref="A7:A8"/>
    <mergeCell ref="B7:C7"/>
    <mergeCell ref="D7:E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tart_4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1390650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_4">
                <anchor moveWithCells="1" sizeWithCells="1">
                  <from>
                    <xdr:col>2</xdr:col>
                    <xdr:colOff>1400175</xdr:colOff>
                    <xdr:row>1</xdr:row>
                    <xdr:rowOff>161925</xdr:rowOff>
                  </from>
                  <to>
                    <xdr:col>3</xdr:col>
                    <xdr:colOff>1400175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Interpolation</vt:lpstr>
      <vt:lpstr>Interpolation (2D)</vt:lpstr>
      <vt:lpstr>Quadrature</vt:lpstr>
      <vt:lpstr>Iterative interpolation</vt:lpstr>
    </vt:vector>
  </TitlesOfParts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>(C) 2014-2020 K Technologies</dc:description>
  <cp:lastModifiedBy>User</cp:lastModifiedBy>
  <dcterms:created xsi:type="dcterms:W3CDTF">2014-03-06T11:16:26Z</dcterms:created>
  <dcterms:modified xsi:type="dcterms:W3CDTF">2020-12-10T01:31:37Z</dcterms:modified>
</cp:coreProperties>
</file>
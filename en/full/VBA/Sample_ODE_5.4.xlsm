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54\XLPack\sample\Full\en\VBA\"/>
    </mc:Choice>
  </mc:AlternateContent>
  <xr:revisionPtr revIDLastSave="0" documentId="13_ncr:1_{9AE17FA0-CAE5-4C4B-AF13-4264A8E9503D}" xr6:coauthVersionLast="45" xr6:coauthVersionMax="45" xr10:uidLastSave="{00000000-0000-0000-0000-000000000000}"/>
  <bookViews>
    <workbookView xWindow="5070" yWindow="405" windowWidth="25020" windowHeight="20745" xr2:uid="{00000000-000D-0000-FFFF-FFFF00000000}"/>
  </bookViews>
  <sheets>
    <sheet name="ODE" sheetId="1" r:id="rId1"/>
    <sheet name="ODE (Dense outpu) (2)" sheetId="2" r:id="rId2"/>
    <sheet name="ODE (2nd order equations)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" l="1"/>
  <c r="E58" i="2"/>
  <c r="E58" i="3"/>
  <c r="B13" i="3"/>
  <c r="B14" i="2"/>
  <c r="B13" i="2"/>
  <c r="B14" i="1" l="1"/>
  <c r="B13" i="1"/>
</calcChain>
</file>

<file path=xl/sharedStrings.xml><?xml version="1.0" encoding="utf-8"?>
<sst xmlns="http://schemas.openxmlformats.org/spreadsheetml/2006/main" count="78" uniqueCount="39">
  <si>
    <t>t</t>
    <phoneticPr fontId="3"/>
  </si>
  <si>
    <t>y1</t>
    <phoneticPr fontId="3"/>
  </si>
  <si>
    <t>y2</t>
    <phoneticPr fontId="3"/>
  </si>
  <si>
    <t>y3</t>
    <phoneticPr fontId="3"/>
  </si>
  <si>
    <t>y4</t>
    <phoneticPr fontId="3"/>
  </si>
  <si>
    <t xml:space="preserve">n = </t>
    <phoneticPr fontId="3"/>
  </si>
  <si>
    <t xml:space="preserve">t = </t>
    <phoneticPr fontId="3"/>
  </si>
  <si>
    <t xml:space="preserve">y1 = </t>
    <phoneticPr fontId="3"/>
  </si>
  <si>
    <t xml:space="preserve">y2 = </t>
    <phoneticPr fontId="3"/>
  </si>
  <si>
    <t xml:space="preserve">y3 = </t>
    <phoneticPr fontId="3"/>
  </si>
  <si>
    <t xml:space="preserve">y4 = </t>
    <phoneticPr fontId="3"/>
  </si>
  <si>
    <t xml:space="preserve">dy1/dt = </t>
    <phoneticPr fontId="3"/>
  </si>
  <si>
    <t xml:space="preserve">dy2/dt = </t>
    <phoneticPr fontId="3"/>
  </si>
  <si>
    <t xml:space="preserve">dy3/dt = </t>
    <phoneticPr fontId="3"/>
  </si>
  <si>
    <t xml:space="preserve">dy4/dt = </t>
    <phoneticPr fontId="3"/>
  </si>
  <si>
    <t xml:space="preserve">Prog = </t>
    <phoneticPr fontId="3"/>
  </si>
  <si>
    <t xml:space="preserve">Ifcn = </t>
    <phoneticPr fontId="3"/>
  </si>
  <si>
    <t xml:space="preserve">Tol = </t>
    <phoneticPr fontId="3"/>
  </si>
  <si>
    <t xml:space="preserve">RevCom = </t>
    <phoneticPr fontId="3"/>
  </si>
  <si>
    <t>y1'</t>
    <phoneticPr fontId="3"/>
  </si>
  <si>
    <t>y2'</t>
    <phoneticPr fontId="3"/>
  </si>
  <si>
    <t xml:space="preserve">d2y1/dt2 = </t>
    <phoneticPr fontId="3"/>
  </si>
  <si>
    <t xml:space="preserve">d2y2/dt2 = </t>
    <phoneticPr fontId="3"/>
  </si>
  <si>
    <t>Initial value problem of ordinary differential equations (ODE)</t>
    <phoneticPr fontId="3"/>
  </si>
  <si>
    <t>Example: dy1/dt=-y2, dy2/dt=y1</t>
    <phoneticPr fontId="3"/>
  </si>
  <si>
    <t># of f(x) eval.</t>
    <phoneticPr fontId="3"/>
  </si>
  <si>
    <t>Init. values -&gt;</t>
    <phoneticPr fontId="3"/>
  </si>
  <si>
    <t>Definition of ODE</t>
  </si>
  <si>
    <t>* Ifcn=1(dyn/dt depends on t), =0(not depend)</t>
    <phoneticPr fontId="3"/>
  </si>
  <si>
    <t xml:space="preserve">   (only for Rodas, Seulex)</t>
    <phoneticPr fontId="3"/>
  </si>
  <si>
    <t>Program</t>
    <phoneticPr fontId="3"/>
  </si>
  <si>
    <t>Initial value problem of ordinary differential equations (ODE) (Dense output test)</t>
    <phoneticPr fontId="3"/>
  </si>
  <si>
    <t>Dense output</t>
    <phoneticPr fontId="3"/>
  </si>
  <si>
    <t xml:space="preserve">Dense = </t>
    <phoneticPr fontId="3"/>
  </si>
  <si>
    <t>Initial value problem of ordinary differential equations (ODE) (Second order equations)</t>
    <phoneticPr fontId="3"/>
  </si>
  <si>
    <t>Example: d2y/dt2 = -y</t>
    <phoneticPr fontId="3"/>
  </si>
  <si>
    <t>Derkf</t>
  </si>
  <si>
    <t>Derkf</t>
    <phoneticPr fontId="3"/>
  </si>
  <si>
    <t>Doprin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</si>
</sst>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11" fontId="0" fillId="3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23</v>
      </c>
    </row>
    <row r="2" spans="1:9" x14ac:dyDescent="0.15">
      <c r="A2" s="2"/>
    </row>
    <row r="3" spans="1:9" x14ac:dyDescent="0.15">
      <c r="F3" t="s">
        <v>24</v>
      </c>
    </row>
    <row r="4" spans="1:9" x14ac:dyDescent="0.15">
      <c r="A4" s="3"/>
    </row>
    <row r="5" spans="1:9" x14ac:dyDescent="0.15">
      <c r="A5" t="s">
        <v>27</v>
      </c>
      <c r="D5" t="s">
        <v>36</v>
      </c>
    </row>
    <row r="6" spans="1:9" x14ac:dyDescent="0.15">
      <c r="A6" s="7" t="s">
        <v>5</v>
      </c>
      <c r="B6" s="8">
        <v>2</v>
      </c>
      <c r="D6" s="4" t="s">
        <v>0</v>
      </c>
      <c r="E6" s="4" t="s">
        <v>25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15">
      <c r="A7" s="7" t="s">
        <v>17</v>
      </c>
      <c r="B7" s="11">
        <v>1E-10</v>
      </c>
      <c r="C7" s="3" t="s">
        <v>26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15">
      <c r="A8" s="7" t="s">
        <v>6</v>
      </c>
      <c r="B8" s="12">
        <v>10</v>
      </c>
      <c r="D8" s="5">
        <v>0.5</v>
      </c>
      <c r="E8" s="6">
        <v>95</v>
      </c>
      <c r="F8" s="6">
        <v>0.87758256191088357</v>
      </c>
      <c r="G8" s="6">
        <v>0.47942553861468629</v>
      </c>
      <c r="H8" s="6"/>
      <c r="I8" s="6"/>
    </row>
    <row r="9" spans="1:9" x14ac:dyDescent="0.15">
      <c r="A9" s="13" t="s">
        <v>7</v>
      </c>
      <c r="B9" s="6">
        <v>-0.83907152959540177</v>
      </c>
      <c r="D9" s="9">
        <v>1</v>
      </c>
      <c r="E9" s="10">
        <v>78</v>
      </c>
      <c r="F9" s="10">
        <v>0.54030230590344985</v>
      </c>
      <c r="G9" s="10">
        <v>0.84147098485949312</v>
      </c>
      <c r="H9" s="10"/>
      <c r="I9" s="10"/>
    </row>
    <row r="10" spans="1:9" x14ac:dyDescent="0.15">
      <c r="A10" s="14" t="s">
        <v>8</v>
      </c>
      <c r="B10" s="10">
        <v>-0.5440211112047395</v>
      </c>
      <c r="D10" s="9">
        <v>1.5</v>
      </c>
      <c r="E10" s="10">
        <v>84</v>
      </c>
      <c r="F10" s="10">
        <v>7.0737201676862815E-2</v>
      </c>
      <c r="G10" s="10">
        <v>0.99749498669535819</v>
      </c>
      <c r="H10" s="10"/>
      <c r="I10" s="10"/>
    </row>
    <row r="11" spans="1:9" x14ac:dyDescent="0.15">
      <c r="A11" s="14" t="s">
        <v>9</v>
      </c>
      <c r="B11" s="10"/>
      <c r="D11" s="9">
        <v>2</v>
      </c>
      <c r="E11" s="10">
        <v>90</v>
      </c>
      <c r="F11" s="10">
        <v>-0.41614683659161927</v>
      </c>
      <c r="G11" s="10">
        <v>0.90929742693077187</v>
      </c>
      <c r="H11" s="10"/>
      <c r="I11" s="10"/>
    </row>
    <row r="12" spans="1:9" x14ac:dyDescent="0.15">
      <c r="A12" s="15" t="s">
        <v>10</v>
      </c>
      <c r="B12" s="16"/>
      <c r="D12" s="9">
        <v>2.5</v>
      </c>
      <c r="E12" s="10">
        <v>78</v>
      </c>
      <c r="F12" s="10">
        <v>-0.80114361566662051</v>
      </c>
      <c r="G12" s="10">
        <v>0.59847214419893013</v>
      </c>
      <c r="H12" s="10"/>
      <c r="I12" s="10"/>
    </row>
    <row r="13" spans="1:9" x14ac:dyDescent="0.15">
      <c r="A13" s="13" t="s">
        <v>11</v>
      </c>
      <c r="B13" s="5">
        <f>-B10</f>
        <v>0.5440211112047395</v>
      </c>
      <c r="D13" s="9">
        <v>3</v>
      </c>
      <c r="E13" s="10">
        <v>84</v>
      </c>
      <c r="F13" s="10">
        <v>-0.98999249678216261</v>
      </c>
      <c r="G13" s="10">
        <v>0.14112000809121264</v>
      </c>
      <c r="H13" s="10"/>
      <c r="I13" s="10"/>
    </row>
    <row r="14" spans="1:9" x14ac:dyDescent="0.15">
      <c r="A14" s="14" t="s">
        <v>12</v>
      </c>
      <c r="B14" s="9">
        <f>B9</f>
        <v>-0.83907152959540177</v>
      </c>
      <c r="D14" s="9">
        <v>3.5</v>
      </c>
      <c r="E14" s="10">
        <v>90</v>
      </c>
      <c r="F14" s="10">
        <v>-0.93645668748580491</v>
      </c>
      <c r="G14" s="10">
        <v>-0.35078322775628457</v>
      </c>
      <c r="H14" s="10"/>
      <c r="I14" s="10"/>
    </row>
    <row r="15" spans="1:9" x14ac:dyDescent="0.15">
      <c r="A15" s="14" t="s">
        <v>13</v>
      </c>
      <c r="B15" s="9"/>
      <c r="D15" s="9">
        <v>4</v>
      </c>
      <c r="E15" s="10">
        <v>78</v>
      </c>
      <c r="F15" s="10">
        <v>-0.65364362102924534</v>
      </c>
      <c r="G15" s="10">
        <v>-0.75680249548874179</v>
      </c>
      <c r="H15" s="10"/>
      <c r="I15" s="10"/>
    </row>
    <row r="16" spans="1:9" x14ac:dyDescent="0.15">
      <c r="A16" s="15" t="s">
        <v>14</v>
      </c>
      <c r="B16" s="17"/>
      <c r="D16" s="9">
        <v>4.5</v>
      </c>
      <c r="E16" s="10">
        <v>84</v>
      </c>
      <c r="F16" s="10">
        <v>-0.21079579949776484</v>
      </c>
      <c r="G16" s="10">
        <v>-0.97753011793681677</v>
      </c>
      <c r="H16" s="10"/>
      <c r="I16" s="10"/>
    </row>
    <row r="17" spans="1:9" x14ac:dyDescent="0.15">
      <c r="A17" s="7" t="s">
        <v>16</v>
      </c>
      <c r="B17" s="8">
        <v>0</v>
      </c>
      <c r="D17" s="17">
        <v>5</v>
      </c>
      <c r="E17" s="16">
        <v>90</v>
      </c>
      <c r="F17" s="16">
        <v>0.2836621855402785</v>
      </c>
      <c r="G17" s="16">
        <v>-0.95892427495460053</v>
      </c>
      <c r="H17" s="16"/>
      <c r="I17" s="16"/>
    </row>
    <row r="18" spans="1:9" x14ac:dyDescent="0.15">
      <c r="A18" s="21" t="s">
        <v>28</v>
      </c>
      <c r="D18" s="18">
        <v>5.5</v>
      </c>
      <c r="E18" s="19">
        <v>84</v>
      </c>
      <c r="F18" s="19">
        <v>0.7086697745201147</v>
      </c>
      <c r="G18" s="19">
        <v>-0.70554032581192982</v>
      </c>
      <c r="H18" s="19"/>
      <c r="I18" s="19"/>
    </row>
    <row r="19" spans="1:9" x14ac:dyDescent="0.15">
      <c r="A19" s="21" t="s">
        <v>29</v>
      </c>
      <c r="D19" s="9">
        <v>6</v>
      </c>
      <c r="E19" s="10">
        <v>78</v>
      </c>
      <c r="F19" s="10">
        <v>0.96017028700427953</v>
      </c>
      <c r="G19" s="10">
        <v>-0.27941549831326112</v>
      </c>
      <c r="H19" s="10"/>
      <c r="I19" s="10"/>
    </row>
    <row r="20" spans="1:9" x14ac:dyDescent="0.15">
      <c r="D20" s="9">
        <v>6.5</v>
      </c>
      <c r="E20" s="10">
        <v>90</v>
      </c>
      <c r="F20" s="10">
        <v>0.97658762611518701</v>
      </c>
      <c r="G20" s="10">
        <v>0.21511998816132463</v>
      </c>
      <c r="H20" s="10"/>
      <c r="I20" s="10"/>
    </row>
    <row r="21" spans="1:9" x14ac:dyDescent="0.15">
      <c r="A21" s="20" t="s">
        <v>30</v>
      </c>
      <c r="D21" s="9">
        <v>7</v>
      </c>
      <c r="E21" s="10">
        <v>84</v>
      </c>
      <c r="F21" s="10">
        <v>0.75390225467019489</v>
      </c>
      <c r="G21" s="10">
        <v>0.65698659898729994</v>
      </c>
      <c r="H21" s="10"/>
      <c r="I21" s="10"/>
    </row>
    <row r="22" spans="1:9" x14ac:dyDescent="0.15">
      <c r="A22" s="7" t="s">
        <v>15</v>
      </c>
      <c r="B22" s="8">
        <v>0</v>
      </c>
      <c r="D22" s="9">
        <v>7.5</v>
      </c>
      <c r="E22" s="10">
        <v>78</v>
      </c>
      <c r="F22" s="10">
        <v>0.34663531800814484</v>
      </c>
      <c r="G22" s="10">
        <v>0.93799997720411343</v>
      </c>
      <c r="H22" s="10"/>
      <c r="I22" s="10"/>
    </row>
    <row r="23" spans="1:9" x14ac:dyDescent="0.15">
      <c r="A23" s="7" t="s">
        <v>18</v>
      </c>
      <c r="B23" s="8">
        <v>0</v>
      </c>
      <c r="D23" s="9">
        <v>8</v>
      </c>
      <c r="E23" s="10">
        <v>90</v>
      </c>
      <c r="F23" s="10">
        <v>-0.14550003386528873</v>
      </c>
      <c r="G23" s="10">
        <v>0.98935824710629905</v>
      </c>
      <c r="H23" s="10"/>
      <c r="I23" s="10"/>
    </row>
    <row r="24" spans="1:9" x14ac:dyDescent="0.15">
      <c r="D24" s="9">
        <v>8.5</v>
      </c>
      <c r="E24" s="10">
        <v>84</v>
      </c>
      <c r="F24" s="10">
        <v>-0.60201190298193241</v>
      </c>
      <c r="G24" s="10">
        <v>0.79848711304243258</v>
      </c>
      <c r="H24" s="10"/>
      <c r="I24" s="10"/>
    </row>
    <row r="25" spans="1:9" x14ac:dyDescent="0.15">
      <c r="D25" s="9">
        <v>9</v>
      </c>
      <c r="E25" s="10">
        <v>78</v>
      </c>
      <c r="F25" s="10">
        <v>-0.91113026238249684</v>
      </c>
      <c r="G25" s="10">
        <v>0.41211848548471636</v>
      </c>
      <c r="H25" s="10"/>
      <c r="I25" s="10"/>
    </row>
    <row r="26" spans="1:9" x14ac:dyDescent="0.15">
      <c r="D26" s="9">
        <v>9.5</v>
      </c>
      <c r="E26" s="10">
        <v>84</v>
      </c>
      <c r="F26" s="10">
        <v>-0.99717215677640181</v>
      </c>
      <c r="G26" s="10">
        <v>-7.5151120488520046E-2</v>
      </c>
      <c r="H26" s="10"/>
      <c r="I26" s="10"/>
    </row>
    <row r="27" spans="1:9" x14ac:dyDescent="0.15">
      <c r="D27" s="17">
        <v>10</v>
      </c>
      <c r="E27" s="16">
        <v>84</v>
      </c>
      <c r="F27" s="16">
        <v>-0.83907152959540177</v>
      </c>
      <c r="G27" s="16">
        <v>-0.5440211112047395</v>
      </c>
      <c r="H27" s="16"/>
      <c r="I27" s="16"/>
    </row>
    <row r="28" spans="1:9" x14ac:dyDescent="0.15">
      <c r="D28" s="18"/>
      <c r="E28" s="19"/>
      <c r="F28" s="19"/>
      <c r="G28" s="19"/>
      <c r="H28" s="19"/>
      <c r="I28" s="19"/>
    </row>
    <row r="29" spans="1:9" x14ac:dyDescent="0.15">
      <c r="D29" s="9"/>
      <c r="E29" s="10"/>
      <c r="F29" s="10"/>
      <c r="G29" s="10"/>
      <c r="H29" s="10"/>
      <c r="I29" s="10"/>
    </row>
    <row r="30" spans="1:9" x14ac:dyDescent="0.15">
      <c r="D30" s="9"/>
      <c r="E30" s="10"/>
      <c r="F30" s="10"/>
      <c r="G30" s="10"/>
      <c r="H30" s="10"/>
      <c r="I30" s="10"/>
    </row>
    <row r="31" spans="1:9" x14ac:dyDescent="0.15">
      <c r="D31" s="9"/>
      <c r="E31" s="10"/>
      <c r="F31" s="10"/>
      <c r="G31" s="10"/>
      <c r="H31" s="10"/>
      <c r="I31" s="10"/>
    </row>
    <row r="32" spans="1:9" x14ac:dyDescent="0.15">
      <c r="D32" s="9"/>
      <c r="E32" s="10"/>
      <c r="F32" s="10"/>
      <c r="G32" s="10"/>
      <c r="H32" s="10"/>
      <c r="I32" s="10"/>
    </row>
    <row r="33" spans="4:9" x14ac:dyDescent="0.15">
      <c r="D33" s="9"/>
      <c r="E33" s="10"/>
      <c r="F33" s="10"/>
      <c r="G33" s="10"/>
      <c r="H33" s="10"/>
      <c r="I33" s="10"/>
    </row>
    <row r="34" spans="4:9" x14ac:dyDescent="0.15">
      <c r="D34" s="9"/>
      <c r="E34" s="10"/>
      <c r="F34" s="10"/>
      <c r="G34" s="10"/>
      <c r="H34" s="10"/>
      <c r="I34" s="10"/>
    </row>
    <row r="35" spans="4:9" x14ac:dyDescent="0.15">
      <c r="D35" s="9"/>
      <c r="E35" s="10"/>
      <c r="F35" s="10"/>
      <c r="G35" s="10"/>
      <c r="H35" s="10"/>
      <c r="I35" s="10"/>
    </row>
    <row r="36" spans="4:9" x14ac:dyDescent="0.15">
      <c r="D36" s="9"/>
      <c r="E36" s="10"/>
      <c r="F36" s="10"/>
      <c r="G36" s="10"/>
      <c r="H36" s="10"/>
      <c r="I36" s="10"/>
    </row>
    <row r="37" spans="4:9" x14ac:dyDescent="0.15">
      <c r="D37" s="17"/>
      <c r="E37" s="16"/>
      <c r="F37" s="16"/>
      <c r="G37" s="16"/>
      <c r="H37" s="16"/>
      <c r="I37" s="16"/>
    </row>
    <row r="38" spans="4:9" x14ac:dyDescent="0.15">
      <c r="D38" s="18"/>
      <c r="E38" s="19"/>
      <c r="F38" s="19"/>
      <c r="G38" s="19"/>
      <c r="H38" s="19"/>
      <c r="I38" s="19"/>
    </row>
    <row r="39" spans="4:9" x14ac:dyDescent="0.15">
      <c r="D39" s="9"/>
      <c r="E39" s="10"/>
      <c r="F39" s="10"/>
      <c r="G39" s="10"/>
      <c r="H39" s="10"/>
      <c r="I39" s="10"/>
    </row>
    <row r="40" spans="4:9" x14ac:dyDescent="0.15">
      <c r="D40" s="9"/>
      <c r="E40" s="10"/>
      <c r="F40" s="10"/>
      <c r="G40" s="10"/>
      <c r="H40" s="10"/>
      <c r="I40" s="10"/>
    </row>
    <row r="41" spans="4:9" x14ac:dyDescent="0.15">
      <c r="D41" s="9"/>
      <c r="E41" s="10"/>
      <c r="F41" s="10"/>
      <c r="G41" s="10"/>
      <c r="H41" s="10"/>
      <c r="I41" s="10"/>
    </row>
    <row r="42" spans="4:9" x14ac:dyDescent="0.15">
      <c r="D42" s="9"/>
      <c r="E42" s="10"/>
      <c r="F42" s="10"/>
      <c r="G42" s="10"/>
      <c r="H42" s="10"/>
      <c r="I42" s="10"/>
    </row>
    <row r="43" spans="4:9" x14ac:dyDescent="0.15">
      <c r="D43" s="9"/>
      <c r="E43" s="10"/>
      <c r="F43" s="10"/>
      <c r="G43" s="10"/>
      <c r="H43" s="10"/>
      <c r="I43" s="10"/>
    </row>
    <row r="44" spans="4:9" x14ac:dyDescent="0.15">
      <c r="D44" s="9"/>
      <c r="E44" s="10"/>
      <c r="F44" s="10"/>
      <c r="G44" s="10"/>
      <c r="H44" s="10"/>
      <c r="I44" s="10"/>
    </row>
    <row r="45" spans="4:9" x14ac:dyDescent="0.15">
      <c r="D45" s="9"/>
      <c r="E45" s="10"/>
      <c r="F45" s="10"/>
      <c r="G45" s="10"/>
      <c r="H45" s="10"/>
      <c r="I45" s="10"/>
    </row>
    <row r="46" spans="4:9" x14ac:dyDescent="0.15">
      <c r="D46" s="9"/>
      <c r="E46" s="10"/>
      <c r="F46" s="10"/>
      <c r="G46" s="10"/>
      <c r="H46" s="10"/>
      <c r="I46" s="10"/>
    </row>
    <row r="47" spans="4:9" x14ac:dyDescent="0.15">
      <c r="D47" s="17"/>
      <c r="E47" s="16"/>
      <c r="F47" s="16"/>
      <c r="G47" s="16"/>
      <c r="H47" s="16"/>
      <c r="I47" s="16"/>
    </row>
    <row r="48" spans="4:9" x14ac:dyDescent="0.15">
      <c r="D48" s="18"/>
      <c r="E48" s="19"/>
      <c r="F48" s="19"/>
      <c r="G48" s="19"/>
      <c r="H48" s="19"/>
      <c r="I48" s="19"/>
    </row>
    <row r="49" spans="4:9" x14ac:dyDescent="0.15">
      <c r="D49" s="9"/>
      <c r="E49" s="10"/>
      <c r="F49" s="10"/>
      <c r="G49" s="10"/>
      <c r="H49" s="10"/>
      <c r="I49" s="10"/>
    </row>
    <row r="50" spans="4:9" x14ac:dyDescent="0.15">
      <c r="D50" s="9"/>
      <c r="E50" s="10"/>
      <c r="F50" s="10"/>
      <c r="G50" s="10"/>
      <c r="H50" s="10"/>
      <c r="I50" s="10"/>
    </row>
    <row r="51" spans="4:9" x14ac:dyDescent="0.15">
      <c r="D51" s="9"/>
      <c r="E51" s="10"/>
      <c r="F51" s="10"/>
      <c r="G51" s="10"/>
      <c r="H51" s="10"/>
      <c r="I51" s="10"/>
    </row>
    <row r="52" spans="4:9" x14ac:dyDescent="0.15">
      <c r="D52" s="9"/>
      <c r="E52" s="10"/>
      <c r="F52" s="10"/>
      <c r="G52" s="10"/>
      <c r="H52" s="10"/>
      <c r="I52" s="10"/>
    </row>
    <row r="53" spans="4:9" x14ac:dyDescent="0.15">
      <c r="D53" s="9"/>
      <c r="E53" s="10"/>
      <c r="F53" s="10"/>
      <c r="G53" s="10"/>
      <c r="H53" s="10"/>
      <c r="I53" s="10"/>
    </row>
    <row r="54" spans="4:9" x14ac:dyDescent="0.15">
      <c r="D54" s="9"/>
      <c r="E54" s="10"/>
      <c r="F54" s="10"/>
      <c r="G54" s="10"/>
      <c r="H54" s="10"/>
      <c r="I54" s="10"/>
    </row>
    <row r="55" spans="4:9" x14ac:dyDescent="0.15">
      <c r="D55" s="9"/>
      <c r="E55" s="10"/>
      <c r="F55" s="10"/>
      <c r="G55" s="10"/>
      <c r="H55" s="10"/>
      <c r="I55" s="10"/>
    </row>
    <row r="56" spans="4:9" x14ac:dyDescent="0.15">
      <c r="D56" s="9"/>
      <c r="E56" s="10"/>
      <c r="F56" s="10"/>
      <c r="G56" s="10"/>
      <c r="H56" s="10"/>
      <c r="I56" s="10"/>
    </row>
    <row r="57" spans="4:9" x14ac:dyDescent="0.15">
      <c r="D57" s="17"/>
      <c r="E57" s="16"/>
      <c r="F57" s="16"/>
      <c r="G57" s="16"/>
      <c r="H57" s="16"/>
      <c r="I57" s="16"/>
    </row>
    <row r="58" spans="4:9" x14ac:dyDescent="0.15">
      <c r="E58" s="16">
        <f>SUM(E8:E57)</f>
        <v>1685</v>
      </c>
    </row>
  </sheetData>
  <phoneticPr fontId="3"/>
  <dataValidations count="3">
    <dataValidation type="whole" allowBlank="1" showInputMessage="1" showErrorMessage="1" prompt="0: Derkf      1: Dopri5_x000a_2: Dverk      3: Dop853_x000a_4: Deabm    5: Odex_x000a_6: Debdf      7: Radau5_x000a_8: Radaup    9: Radau_x000a_10: Rodas    11: Seulex" sqref="B22" xr:uid="{00000000-0002-0000-0000-000000000000}">
      <formula1>0</formula1>
      <formula2>11</formula2>
    </dataValidation>
    <dataValidation type="whole" allowBlank="1" showInputMessage="1" showErrorMessage="1" sqref="B6" xr:uid="{00000000-0002-0000-0000-000001000000}">
      <formula1>1</formula1>
      <formula2>4</formula2>
    </dataValidation>
    <dataValidation type="whole" allowBlank="1" showInputMessage="1" showErrorMessage="1" prompt="0: Callback version_x000a_1: Reverse communication version" sqref="B23" xr:uid="{064A4DC4-638F-4FBA-98AA-7E6DE3307A8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09AD-04DE-4F00-B73A-2C6EA2FF40CB}">
  <sheetPr codeName="Sheet3"/>
  <dimension ref="A1:I58"/>
  <sheetViews>
    <sheetView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31</v>
      </c>
    </row>
    <row r="2" spans="1:9" x14ac:dyDescent="0.15">
      <c r="A2" s="2"/>
    </row>
    <row r="3" spans="1:9" x14ac:dyDescent="0.15">
      <c r="F3" t="s">
        <v>24</v>
      </c>
    </row>
    <row r="4" spans="1:9" x14ac:dyDescent="0.15">
      <c r="A4" s="3"/>
    </row>
    <row r="5" spans="1:9" x14ac:dyDescent="0.15">
      <c r="A5" t="s">
        <v>27</v>
      </c>
      <c r="D5" t="s">
        <v>37</v>
      </c>
    </row>
    <row r="6" spans="1:9" x14ac:dyDescent="0.15">
      <c r="A6" s="7" t="s">
        <v>5</v>
      </c>
      <c r="B6" s="8">
        <v>2</v>
      </c>
      <c r="D6" s="4" t="s">
        <v>0</v>
      </c>
      <c r="E6" s="4" t="s">
        <v>25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15">
      <c r="A7" s="7" t="s">
        <v>17</v>
      </c>
      <c r="B7" s="11">
        <v>9.9999999999999995E-7</v>
      </c>
      <c r="C7" s="3" t="s">
        <v>26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15">
      <c r="A8" s="7" t="s">
        <v>6</v>
      </c>
      <c r="B8" s="12">
        <v>4.9999999999999982</v>
      </c>
      <c r="D8" s="5">
        <v>0.1</v>
      </c>
      <c r="E8" s="6">
        <v>17</v>
      </c>
      <c r="F8" s="6">
        <v>0.99500416605694952</v>
      </c>
      <c r="G8" s="6">
        <v>9.9833421843294759E-2</v>
      </c>
      <c r="H8" s="6"/>
      <c r="I8" s="6"/>
    </row>
    <row r="9" spans="1:9" x14ac:dyDescent="0.15">
      <c r="A9" s="13" t="s">
        <v>7</v>
      </c>
      <c r="B9" s="6">
        <v>0.28366251426820788</v>
      </c>
      <c r="D9" s="9">
        <v>0.2</v>
      </c>
      <c r="E9" s="10">
        <v>0</v>
      </c>
      <c r="F9" s="10">
        <v>0.98006663932764482</v>
      </c>
      <c r="G9" s="10">
        <v>0.19866950200674474</v>
      </c>
      <c r="H9" s="10"/>
      <c r="I9" s="10"/>
    </row>
    <row r="10" spans="1:9" x14ac:dyDescent="0.15">
      <c r="A10" s="14" t="s">
        <v>8</v>
      </c>
      <c r="B10" s="10">
        <v>-0.95892747350636265</v>
      </c>
      <c r="D10" s="9">
        <v>0.30000000000000004</v>
      </c>
      <c r="E10" s="10">
        <v>0</v>
      </c>
      <c r="F10" s="10">
        <v>0.95533658438594793</v>
      </c>
      <c r="G10" s="10">
        <v>0.29552022063942956</v>
      </c>
      <c r="H10" s="10"/>
      <c r="I10" s="10"/>
    </row>
    <row r="11" spans="1:9" x14ac:dyDescent="0.15">
      <c r="A11" s="14" t="s">
        <v>9</v>
      </c>
      <c r="B11" s="10"/>
      <c r="D11" s="9">
        <v>0.4</v>
      </c>
      <c r="E11" s="10">
        <v>6</v>
      </c>
      <c r="F11" s="10">
        <v>0.92106109303976291</v>
      </c>
      <c r="G11" s="10">
        <v>0.38941857483235676</v>
      </c>
      <c r="H11" s="10"/>
      <c r="I11" s="10"/>
    </row>
    <row r="12" spans="1:9" x14ac:dyDescent="0.15">
      <c r="A12" s="15" t="s">
        <v>10</v>
      </c>
      <c r="B12" s="16"/>
      <c r="D12" s="9">
        <v>0.5</v>
      </c>
      <c r="E12" s="10">
        <v>0</v>
      </c>
      <c r="F12" s="10">
        <v>0.87758275610147063</v>
      </c>
      <c r="G12" s="10">
        <v>0.47942562780832099</v>
      </c>
      <c r="H12" s="10"/>
      <c r="I12" s="10"/>
    </row>
    <row r="13" spans="1:9" x14ac:dyDescent="0.15">
      <c r="A13" s="13" t="s">
        <v>11</v>
      </c>
      <c r="B13" s="5">
        <f>-B10</f>
        <v>0.95892747350636265</v>
      </c>
      <c r="D13" s="9">
        <v>0.6</v>
      </c>
      <c r="E13" s="10">
        <v>6</v>
      </c>
      <c r="F13" s="10">
        <v>0.82533574606444937</v>
      </c>
      <c r="G13" s="10">
        <v>0.56464276104743172</v>
      </c>
      <c r="H13" s="10"/>
      <c r="I13" s="10"/>
    </row>
    <row r="14" spans="1:9" x14ac:dyDescent="0.15">
      <c r="A14" s="14" t="s">
        <v>12</v>
      </c>
      <c r="B14" s="9">
        <f>B9</f>
        <v>0.28366251426820788</v>
      </c>
      <c r="D14" s="9">
        <v>0.7</v>
      </c>
      <c r="E14" s="10">
        <v>0</v>
      </c>
      <c r="F14" s="10">
        <v>0.76484244413972458</v>
      </c>
      <c r="G14" s="10">
        <v>0.64421794856731507</v>
      </c>
      <c r="H14" s="10"/>
      <c r="I14" s="10"/>
    </row>
    <row r="15" spans="1:9" x14ac:dyDescent="0.15">
      <c r="A15" s="14" t="s">
        <v>13</v>
      </c>
      <c r="B15" s="9"/>
      <c r="D15" s="9">
        <v>0.79999999999999993</v>
      </c>
      <c r="E15" s="10">
        <v>6</v>
      </c>
      <c r="F15" s="10">
        <v>0.69670692862617145</v>
      </c>
      <c r="G15" s="10">
        <v>0.71735638821042236</v>
      </c>
      <c r="H15" s="10"/>
      <c r="I15" s="10"/>
    </row>
    <row r="16" spans="1:9" x14ac:dyDescent="0.15">
      <c r="A16" s="15" t="s">
        <v>14</v>
      </c>
      <c r="B16" s="17"/>
      <c r="D16" s="9">
        <v>0.89999999999999991</v>
      </c>
      <c r="E16" s="10">
        <v>0</v>
      </c>
      <c r="F16" s="10">
        <v>0.62161017907294669</v>
      </c>
      <c r="G16" s="10">
        <v>0.78332742575330605</v>
      </c>
      <c r="H16" s="10"/>
      <c r="I16" s="10"/>
    </row>
    <row r="17" spans="1:9" x14ac:dyDescent="0.15">
      <c r="D17" s="17">
        <v>0.99999999999999989</v>
      </c>
      <c r="E17" s="16">
        <v>0</v>
      </c>
      <c r="F17" s="16">
        <v>0.54030266313766406</v>
      </c>
      <c r="G17" s="16">
        <v>0.84147136847883708</v>
      </c>
      <c r="H17" s="16"/>
      <c r="I17" s="16"/>
    </row>
    <row r="18" spans="1:9" x14ac:dyDescent="0.15">
      <c r="A18" s="20" t="s">
        <v>32</v>
      </c>
      <c r="D18" s="18">
        <v>1.0999999999999999</v>
      </c>
      <c r="E18" s="19">
        <v>6</v>
      </c>
      <c r="F18" s="19">
        <v>0.45359619966575093</v>
      </c>
      <c r="G18" s="19">
        <v>0.89120808840162535</v>
      </c>
      <c r="H18" s="19"/>
      <c r="I18" s="19"/>
    </row>
    <row r="19" spans="1:9" x14ac:dyDescent="0.15">
      <c r="A19" s="7" t="s">
        <v>33</v>
      </c>
      <c r="B19" s="8">
        <v>1</v>
      </c>
      <c r="D19" s="9">
        <v>1.2</v>
      </c>
      <c r="E19" s="10">
        <v>0</v>
      </c>
      <c r="F19" s="10">
        <v>0.36235807497541639</v>
      </c>
      <c r="G19" s="10">
        <v>0.93203980371854911</v>
      </c>
      <c r="H19" s="10"/>
      <c r="I19" s="10"/>
    </row>
    <row r="20" spans="1:9" x14ac:dyDescent="0.15">
      <c r="D20" s="9">
        <v>1.3</v>
      </c>
      <c r="E20" s="10">
        <v>6</v>
      </c>
      <c r="F20" s="10">
        <v>0.26749904032899263</v>
      </c>
      <c r="G20" s="10">
        <v>0.96355893991592456</v>
      </c>
      <c r="H20" s="10"/>
      <c r="I20" s="10"/>
    </row>
    <row r="21" spans="1:9" x14ac:dyDescent="0.15">
      <c r="A21" s="20" t="s">
        <v>30</v>
      </c>
      <c r="D21" s="9">
        <v>1.4000000000000001</v>
      </c>
      <c r="E21" s="10">
        <v>0</v>
      </c>
      <c r="F21" s="10">
        <v>0.16996724453851453</v>
      </c>
      <c r="G21" s="10">
        <v>0.98545067844691425</v>
      </c>
      <c r="H21" s="10"/>
      <c r="I21" s="10"/>
    </row>
    <row r="22" spans="1:9" x14ac:dyDescent="0.15">
      <c r="A22" s="7" t="s">
        <v>15</v>
      </c>
      <c r="B22" s="8">
        <v>0</v>
      </c>
      <c r="D22" s="9">
        <v>1.5000000000000002</v>
      </c>
      <c r="E22" s="10">
        <v>6</v>
      </c>
      <c r="F22" s="10">
        <v>7.0737441383838709E-2</v>
      </c>
      <c r="G22" s="10">
        <v>0.99749589919431891</v>
      </c>
      <c r="H22" s="10"/>
      <c r="I22" s="10"/>
    </row>
    <row r="23" spans="1:9" x14ac:dyDescent="0.15">
      <c r="A23" s="7" t="s">
        <v>18</v>
      </c>
      <c r="B23" s="8">
        <v>0</v>
      </c>
      <c r="D23" s="9">
        <v>1.6000000000000003</v>
      </c>
      <c r="E23" s="10">
        <v>0</v>
      </c>
      <c r="F23" s="10">
        <v>-2.9199581444986897E-2</v>
      </c>
      <c r="G23" s="10">
        <v>0.99957463608186159</v>
      </c>
      <c r="H23" s="10"/>
      <c r="I23" s="10"/>
    </row>
    <row r="24" spans="1:9" x14ac:dyDescent="0.15">
      <c r="D24" s="9">
        <v>1.7000000000000004</v>
      </c>
      <c r="E24" s="10">
        <v>0</v>
      </c>
      <c r="F24" s="10">
        <v>-0.12884444858650784</v>
      </c>
      <c r="G24" s="10">
        <v>0.99166587953345053</v>
      </c>
      <c r="H24" s="10"/>
      <c r="I24" s="10"/>
    </row>
    <row r="25" spans="1:9" x14ac:dyDescent="0.15">
      <c r="D25" s="9">
        <v>1.8000000000000005</v>
      </c>
      <c r="E25" s="10">
        <v>6</v>
      </c>
      <c r="F25" s="10">
        <v>-0.22720232241747312</v>
      </c>
      <c r="G25" s="10">
        <v>0.97384871716642629</v>
      </c>
      <c r="H25" s="10"/>
      <c r="I25" s="10"/>
    </row>
    <row r="26" spans="1:9" x14ac:dyDescent="0.15">
      <c r="D26" s="9">
        <v>1.9000000000000006</v>
      </c>
      <c r="E26" s="10">
        <v>0</v>
      </c>
      <c r="F26" s="10">
        <v>-0.32328978059100943</v>
      </c>
      <c r="G26" s="10">
        <v>0.94630124387093817</v>
      </c>
      <c r="H26" s="10"/>
      <c r="I26" s="10"/>
    </row>
    <row r="27" spans="1:9" x14ac:dyDescent="0.15">
      <c r="D27" s="17">
        <v>2.0000000000000004</v>
      </c>
      <c r="E27" s="16">
        <v>6</v>
      </c>
      <c r="F27" s="16">
        <v>-0.41614726869714974</v>
      </c>
      <c r="G27" s="16">
        <v>0.90929853736012922</v>
      </c>
      <c r="H27" s="16"/>
      <c r="I27" s="16"/>
    </row>
    <row r="28" spans="1:9" x14ac:dyDescent="0.15">
      <c r="D28" s="18">
        <v>2.1000000000000005</v>
      </c>
      <c r="E28" s="19">
        <v>0</v>
      </c>
      <c r="F28" s="19">
        <v>-0.50484664484620889</v>
      </c>
      <c r="G28" s="19">
        <v>0.8632105419849071</v>
      </c>
      <c r="H28" s="19"/>
      <c r="I28" s="19"/>
    </row>
    <row r="29" spans="1:9" x14ac:dyDescent="0.15">
      <c r="D29" s="9">
        <v>2.2000000000000006</v>
      </c>
      <c r="E29" s="10">
        <v>6</v>
      </c>
      <c r="F29" s="10">
        <v>-0.58850173740981082</v>
      </c>
      <c r="G29" s="10">
        <v>0.808497535849522</v>
      </c>
      <c r="H29" s="10"/>
      <c r="I29" s="10"/>
    </row>
    <row r="30" spans="1:9" x14ac:dyDescent="0.15">
      <c r="D30" s="9">
        <v>2.3000000000000007</v>
      </c>
      <c r="E30" s="10">
        <v>0</v>
      </c>
      <c r="F30" s="10">
        <v>-0.66627694357710954</v>
      </c>
      <c r="G30" s="10">
        <v>0.74570630071427779</v>
      </c>
      <c r="H30" s="10"/>
      <c r="I30" s="10"/>
    </row>
    <row r="31" spans="1:9" x14ac:dyDescent="0.15">
      <c r="D31" s="9">
        <v>2.4000000000000008</v>
      </c>
      <c r="E31" s="10">
        <v>0</v>
      </c>
      <c r="F31" s="10">
        <v>-0.73739458104921995</v>
      </c>
      <c r="G31" s="10">
        <v>0.6754643276018838</v>
      </c>
      <c r="H31" s="10"/>
      <c r="I31" s="10"/>
    </row>
    <row r="32" spans="1:9" x14ac:dyDescent="0.15">
      <c r="D32" s="9">
        <v>2.5000000000000009</v>
      </c>
      <c r="E32" s="10">
        <v>6</v>
      </c>
      <c r="F32" s="10">
        <v>-0.80114488443983345</v>
      </c>
      <c r="G32" s="10">
        <v>0.59847304432964388</v>
      </c>
      <c r="H32" s="10"/>
      <c r="I32" s="10"/>
    </row>
    <row r="33" spans="4:9" x14ac:dyDescent="0.15">
      <c r="D33" s="9">
        <v>2.600000000000001</v>
      </c>
      <c r="E33" s="10">
        <v>0</v>
      </c>
      <c r="F33" s="10">
        <v>-0.85689002880653042</v>
      </c>
      <c r="G33" s="10">
        <v>0.51550240929811764</v>
      </c>
      <c r="H33" s="10"/>
      <c r="I33" s="10"/>
    </row>
    <row r="34" spans="4:9" x14ac:dyDescent="0.15">
      <c r="D34" s="9">
        <v>2.7000000000000011</v>
      </c>
      <c r="E34" s="10">
        <v>6</v>
      </c>
      <c r="F34" s="10">
        <v>-0.90407360680311799</v>
      </c>
      <c r="G34" s="10">
        <v>0.42738066929892093</v>
      </c>
      <c r="H34" s="10"/>
      <c r="I34" s="10"/>
    </row>
    <row r="35" spans="4:9" x14ac:dyDescent="0.15">
      <c r="D35" s="9">
        <v>2.8000000000000012</v>
      </c>
      <c r="E35" s="10">
        <v>0</v>
      </c>
      <c r="F35" s="10">
        <v>-0.94222409498467752</v>
      </c>
      <c r="G35" s="10">
        <v>0.33498882156622967</v>
      </c>
      <c r="H35" s="10"/>
      <c r="I35" s="10"/>
    </row>
    <row r="36" spans="4:9" x14ac:dyDescent="0.15">
      <c r="D36" s="9">
        <v>2.9000000000000012</v>
      </c>
      <c r="E36" s="10">
        <v>0</v>
      </c>
      <c r="F36" s="10">
        <v>-0.97095987248055715</v>
      </c>
      <c r="G36" s="10">
        <v>0.23925010688669895</v>
      </c>
      <c r="H36" s="10"/>
      <c r="I36" s="10"/>
    </row>
    <row r="37" spans="4:9" x14ac:dyDescent="0.15">
      <c r="D37" s="17">
        <v>3.0000000000000013</v>
      </c>
      <c r="E37" s="16">
        <v>6</v>
      </c>
      <c r="F37" s="16">
        <v>-0.98999443371546259</v>
      </c>
      <c r="G37" s="16">
        <v>0.14112037355849255</v>
      </c>
      <c r="H37" s="16"/>
      <c r="I37" s="16"/>
    </row>
    <row r="38" spans="4:9" x14ac:dyDescent="0.15">
      <c r="D38" s="18">
        <v>3.1000000000000014</v>
      </c>
      <c r="E38" s="19">
        <v>0</v>
      </c>
      <c r="F38" s="19">
        <v>-0.99913715294060146</v>
      </c>
      <c r="G38" s="19">
        <v>4.1581082117762271E-2</v>
      </c>
      <c r="H38" s="19"/>
      <c r="I38" s="19"/>
    </row>
    <row r="39" spans="4:9" x14ac:dyDescent="0.15">
      <c r="D39" s="9">
        <v>3.2000000000000015</v>
      </c>
      <c r="E39" s="10">
        <v>6</v>
      </c>
      <c r="F39" s="10">
        <v>-0.9982968314676639</v>
      </c>
      <c r="G39" s="10">
        <v>-5.8374036866306774E-2</v>
      </c>
      <c r="H39" s="10"/>
      <c r="I39" s="10"/>
    </row>
    <row r="40" spans="4:9" x14ac:dyDescent="0.15">
      <c r="D40" s="9">
        <v>3.3000000000000016</v>
      </c>
      <c r="E40" s="10">
        <v>0</v>
      </c>
      <c r="F40" s="10">
        <v>-0.98748192063589324</v>
      </c>
      <c r="G40" s="10">
        <v>-0.1577457204664453</v>
      </c>
      <c r="H40" s="10"/>
      <c r="I40" s="10"/>
    </row>
    <row r="41" spans="4:9" x14ac:dyDescent="0.15">
      <c r="D41" s="9">
        <v>3.4000000000000017</v>
      </c>
      <c r="E41" s="10">
        <v>6</v>
      </c>
      <c r="F41" s="10">
        <v>-0.96680032890412049</v>
      </c>
      <c r="G41" s="10">
        <v>-0.25554134214171698</v>
      </c>
      <c r="H41" s="10"/>
      <c r="I41" s="10"/>
    </row>
    <row r="42" spans="4:9" x14ac:dyDescent="0.15">
      <c r="D42" s="9">
        <v>3.5000000000000018</v>
      </c>
      <c r="E42" s="10">
        <v>0</v>
      </c>
      <c r="F42" s="10">
        <v>-0.93645887178958975</v>
      </c>
      <c r="G42" s="10">
        <v>-0.35078374100990622</v>
      </c>
      <c r="H42" s="10"/>
      <c r="I42" s="10"/>
    </row>
    <row r="43" spans="4:9" x14ac:dyDescent="0.15">
      <c r="D43" s="9">
        <v>3.6000000000000019</v>
      </c>
      <c r="E43" s="10">
        <v>6</v>
      </c>
      <c r="F43" s="10">
        <v>-0.89676057227201234</v>
      </c>
      <c r="G43" s="10">
        <v>-0.44252107716996486</v>
      </c>
      <c r="H43" s="10"/>
      <c r="I43" s="10"/>
    </row>
    <row r="44" spans="4:9" x14ac:dyDescent="0.15">
      <c r="D44" s="9">
        <v>3.700000000000002</v>
      </c>
      <c r="E44" s="10">
        <v>0</v>
      </c>
      <c r="F44" s="10">
        <v>-0.84810213350601793</v>
      </c>
      <c r="G44" s="10">
        <v>-0.5298371906515299</v>
      </c>
      <c r="H44" s="10"/>
      <c r="I44" s="10"/>
    </row>
    <row r="45" spans="4:9" x14ac:dyDescent="0.15">
      <c r="D45" s="9">
        <v>3.800000000000002</v>
      </c>
      <c r="E45" s="10">
        <v>0</v>
      </c>
      <c r="F45" s="10">
        <v>-0.79096982437936736</v>
      </c>
      <c r="G45" s="10">
        <v>-0.61185897712491999</v>
      </c>
      <c r="H45" s="10"/>
      <c r="I45" s="10"/>
    </row>
    <row r="46" spans="4:9" x14ac:dyDescent="0.15">
      <c r="D46" s="9">
        <v>3.9000000000000021</v>
      </c>
      <c r="E46" s="10">
        <v>6</v>
      </c>
      <c r="F46" s="10">
        <v>-0.72593420461554403</v>
      </c>
      <c r="G46" s="10">
        <v>-0.68776771339265763</v>
      </c>
      <c r="H46" s="10"/>
      <c r="I46" s="10"/>
    </row>
    <row r="47" spans="4:9" x14ac:dyDescent="0.15">
      <c r="D47" s="17">
        <v>4.0000000000000018</v>
      </c>
      <c r="E47" s="16">
        <v>0</v>
      </c>
      <c r="F47" s="16">
        <v>-0.65364557289669545</v>
      </c>
      <c r="G47" s="16">
        <v>-0.75680412938934682</v>
      </c>
      <c r="H47" s="16"/>
      <c r="I47" s="16"/>
    </row>
    <row r="48" spans="4:9" x14ac:dyDescent="0.15">
      <c r="D48" s="18">
        <v>4.1000000000000014</v>
      </c>
      <c r="E48" s="19">
        <v>6</v>
      </c>
      <c r="F48" s="19">
        <v>-0.57482562717390173</v>
      </c>
      <c r="G48" s="19">
        <v>-0.8182790459394027</v>
      </c>
      <c r="H48" s="19"/>
      <c r="I48" s="19"/>
    </row>
    <row r="49" spans="4:9" x14ac:dyDescent="0.15">
      <c r="D49" s="9">
        <v>4.2000000000000011</v>
      </c>
      <c r="E49" s="10">
        <v>0</v>
      </c>
      <c r="F49" s="10">
        <v>-0.49026239065275368</v>
      </c>
      <c r="G49" s="10">
        <v>-0.87157802361141723</v>
      </c>
      <c r="H49" s="10"/>
      <c r="I49" s="10"/>
    </row>
    <row r="50" spans="4:9" x14ac:dyDescent="0.15">
      <c r="D50" s="9">
        <v>4.3000000000000007</v>
      </c>
      <c r="E50" s="10">
        <v>6</v>
      </c>
      <c r="F50" s="10">
        <v>-0.40080071345230661</v>
      </c>
      <c r="G50" s="10">
        <v>-0.91616820791240172</v>
      </c>
      <c r="H50" s="10"/>
      <c r="I50" s="10"/>
    </row>
    <row r="51" spans="4:9" x14ac:dyDescent="0.15">
      <c r="D51" s="9">
        <v>4.4000000000000004</v>
      </c>
      <c r="E51" s="10">
        <v>0</v>
      </c>
      <c r="F51" s="10">
        <v>-0.30733392221507672</v>
      </c>
      <c r="G51" s="10">
        <v>-0.95160475587500271</v>
      </c>
      <c r="H51" s="10"/>
      <c r="I51" s="10"/>
    </row>
    <row r="52" spans="4:9" x14ac:dyDescent="0.15">
      <c r="D52" s="9">
        <v>4.5</v>
      </c>
      <c r="E52" s="10">
        <v>0</v>
      </c>
      <c r="F52" s="10">
        <v>-0.21079689910818328</v>
      </c>
      <c r="G52" s="10">
        <v>-0.97753288154674745</v>
      </c>
      <c r="H52" s="10"/>
      <c r="I52" s="10"/>
    </row>
    <row r="53" spans="4:9" x14ac:dyDescent="0.15">
      <c r="D53" s="9">
        <v>4.5999999999999996</v>
      </c>
      <c r="E53" s="10">
        <v>6</v>
      </c>
      <c r="F53" s="10">
        <v>-0.11215324536939188</v>
      </c>
      <c r="G53" s="10">
        <v>-0.99369389630491689</v>
      </c>
      <c r="H53" s="10"/>
      <c r="I53" s="10"/>
    </row>
    <row r="54" spans="4:9" x14ac:dyDescent="0.15">
      <c r="D54" s="9">
        <v>4.6999999999999993</v>
      </c>
      <c r="E54" s="10">
        <v>0</v>
      </c>
      <c r="F54" s="10">
        <v>-1.2389156677820687E-2</v>
      </c>
      <c r="G54" s="10">
        <v>-0.99992630986885955</v>
      </c>
      <c r="H54" s="10"/>
      <c r="I54" s="10"/>
    </row>
    <row r="55" spans="4:9" x14ac:dyDescent="0.15">
      <c r="D55" s="9">
        <v>4.7999999999999989</v>
      </c>
      <c r="E55" s="10">
        <v>6</v>
      </c>
      <c r="F55" s="10">
        <v>8.7498743523782271E-2</v>
      </c>
      <c r="G55" s="10">
        <v>-0.99616768895443486</v>
      </c>
      <c r="H55" s="10"/>
      <c r="I55" s="10"/>
    </row>
    <row r="56" spans="4:9" x14ac:dyDescent="0.15">
      <c r="D56" s="9">
        <v>4.8999999999999986</v>
      </c>
      <c r="E56" s="10">
        <v>0</v>
      </c>
      <c r="F56" s="10">
        <v>0.18651256703847233</v>
      </c>
      <c r="G56" s="10">
        <v>-0.9824558059536237</v>
      </c>
      <c r="H56" s="10"/>
      <c r="I56" s="10"/>
    </row>
    <row r="57" spans="4:9" x14ac:dyDescent="0.15">
      <c r="D57" s="17">
        <v>4.9999999999999982</v>
      </c>
      <c r="E57" s="16">
        <v>0</v>
      </c>
      <c r="F57" s="16">
        <v>0.28366251426820788</v>
      </c>
      <c r="G57" s="16">
        <v>-0.95892747350636265</v>
      </c>
      <c r="H57" s="16"/>
      <c r="I57" s="16"/>
    </row>
    <row r="58" spans="4:9" x14ac:dyDescent="0.15">
      <c r="E58" s="16">
        <f>SUM(E8:E57)</f>
        <v>137</v>
      </c>
    </row>
  </sheetData>
  <phoneticPr fontId="3"/>
  <dataValidations count="4">
    <dataValidation type="whole" allowBlank="1" showInputMessage="1" showErrorMessage="1" prompt="0: Derkf_x000a_1: Dopri5_x000a_2: Dverk_x000a_" sqref="B22" xr:uid="{A182FB2D-542F-4879-B3CA-29D0907DA97B}">
      <formula1>0</formula1>
      <formula2>2</formula2>
    </dataValidation>
    <dataValidation type="whole" allowBlank="1" showInputMessage="1" showErrorMessage="1" sqref="B6" xr:uid="{DB334F79-1AC8-4AE9-827B-408E9E5A324B}">
      <formula1>1</formula1>
      <formula2>4</formula2>
    </dataValidation>
    <dataValidation type="whole" allowBlank="1" showInputMessage="1" showErrorMessage="1" prompt="0: Callback version_x000a_1: Reverse communication version" sqref="B23" xr:uid="{988744AB-9BF5-4E4E-8867-7EA8A4B4EC5D}">
      <formula1>0</formula1>
      <formula2>1</formula2>
    </dataValidation>
    <dataValidation type="whole" allowBlank="1" showInputMessage="1" showErrorMessage="1" prompt="0: No      1: Yes_x000a_" sqref="B19" xr:uid="{41601192-CCFF-4933-9EEC-8E2985159AD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466BC-D53D-4554-9918-C310BA86AF9B}">
  <sheetPr codeName="Sheet4"/>
  <dimension ref="A1:I58"/>
  <sheetViews>
    <sheetView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34</v>
      </c>
    </row>
    <row r="2" spans="1:9" x14ac:dyDescent="0.15">
      <c r="A2" s="2"/>
    </row>
    <row r="3" spans="1:9" x14ac:dyDescent="0.15">
      <c r="F3" t="s">
        <v>35</v>
      </c>
    </row>
    <row r="4" spans="1:9" x14ac:dyDescent="0.15">
      <c r="A4" s="3"/>
    </row>
    <row r="5" spans="1:9" x14ac:dyDescent="0.15">
      <c r="A5" t="s">
        <v>27</v>
      </c>
      <c r="D5" t="s">
        <v>38</v>
      </c>
    </row>
    <row r="6" spans="1:9" x14ac:dyDescent="0.15">
      <c r="A6" s="7" t="s">
        <v>5</v>
      </c>
      <c r="B6" s="8">
        <v>1</v>
      </c>
      <c r="D6" s="4" t="s">
        <v>0</v>
      </c>
      <c r="E6" s="4" t="s">
        <v>25</v>
      </c>
      <c r="F6" s="22" t="s">
        <v>1</v>
      </c>
      <c r="G6" s="23" t="s">
        <v>2</v>
      </c>
      <c r="H6" s="22" t="s">
        <v>19</v>
      </c>
      <c r="I6" s="23" t="s">
        <v>20</v>
      </c>
    </row>
    <row r="7" spans="1:9" x14ac:dyDescent="0.15">
      <c r="A7" s="7" t="s">
        <v>17</v>
      </c>
      <c r="B7" s="11">
        <v>1E-10</v>
      </c>
      <c r="C7" s="3" t="s">
        <v>26</v>
      </c>
      <c r="D7" s="8">
        <v>0</v>
      </c>
      <c r="E7" s="12"/>
      <c r="F7" s="24">
        <v>0</v>
      </c>
      <c r="G7" s="25"/>
      <c r="H7" s="24">
        <v>1</v>
      </c>
      <c r="I7" s="25"/>
    </row>
    <row r="8" spans="1:9" x14ac:dyDescent="0.15">
      <c r="A8" s="7" t="s">
        <v>6</v>
      </c>
      <c r="B8" s="12">
        <v>10</v>
      </c>
      <c r="D8" s="5">
        <v>0.5</v>
      </c>
      <c r="E8" s="6">
        <v>74</v>
      </c>
      <c r="F8" s="26">
        <v>0.47942553860399212</v>
      </c>
      <c r="G8" s="27"/>
      <c r="H8" s="26">
        <v>0.87758256188932626</v>
      </c>
      <c r="I8" s="27"/>
    </row>
    <row r="9" spans="1:9" x14ac:dyDescent="0.15">
      <c r="A9" s="13" t="s">
        <v>7</v>
      </c>
      <c r="B9" s="6">
        <v>-0.5440211108773586</v>
      </c>
      <c r="D9" s="9">
        <v>1</v>
      </c>
      <c r="E9" s="10">
        <v>24</v>
      </c>
      <c r="F9" s="28">
        <v>0.84147098480698568</v>
      </c>
      <c r="G9" s="29"/>
      <c r="H9" s="28">
        <v>0.5403023058664771</v>
      </c>
      <c r="I9" s="29"/>
    </row>
    <row r="10" spans="1:9" x14ac:dyDescent="0.15">
      <c r="A10" s="14" t="s">
        <v>8</v>
      </c>
      <c r="B10" s="10"/>
      <c r="D10" s="9">
        <v>1.5</v>
      </c>
      <c r="E10" s="10">
        <v>24</v>
      </c>
      <c r="F10" s="28">
        <v>0.99749498660204117</v>
      </c>
      <c r="G10" s="29"/>
      <c r="H10" s="28">
        <v>7.0737201665273378E-2</v>
      </c>
      <c r="I10" s="29"/>
    </row>
    <row r="11" spans="1:9" x14ac:dyDescent="0.15">
      <c r="A11" s="14"/>
      <c r="B11" s="10"/>
      <c r="D11" s="9">
        <v>2</v>
      </c>
      <c r="E11" s="10">
        <v>16</v>
      </c>
      <c r="F11" s="28">
        <v>0.90929742682264048</v>
      </c>
      <c r="G11" s="29"/>
      <c r="H11" s="28">
        <v>-0.41614683654837514</v>
      </c>
      <c r="I11" s="29"/>
    </row>
    <row r="12" spans="1:9" x14ac:dyDescent="0.15">
      <c r="A12" s="15"/>
      <c r="B12" s="16"/>
      <c r="D12" s="9">
        <v>2.5</v>
      </c>
      <c r="E12" s="10">
        <v>32</v>
      </c>
      <c r="F12" s="28">
        <v>0.59847214410134753</v>
      </c>
      <c r="G12" s="29"/>
      <c r="H12" s="28">
        <v>-0.80114361554414359</v>
      </c>
      <c r="I12" s="29"/>
    </row>
    <row r="13" spans="1:9" x14ac:dyDescent="0.15">
      <c r="A13" s="13" t="s">
        <v>21</v>
      </c>
      <c r="B13" s="5">
        <f>-B9</f>
        <v>0.5440211108773586</v>
      </c>
      <c r="D13" s="9">
        <v>3</v>
      </c>
      <c r="E13" s="10">
        <v>24</v>
      </c>
      <c r="F13" s="28">
        <v>0.14112000805941902</v>
      </c>
      <c r="G13" s="29"/>
      <c r="H13" s="28">
        <v>-0.98999249659511701</v>
      </c>
      <c r="I13" s="29"/>
    </row>
    <row r="14" spans="1:9" x14ac:dyDescent="0.15">
      <c r="A14" s="14" t="s">
        <v>22</v>
      </c>
      <c r="B14" s="9"/>
      <c r="D14" s="9">
        <v>3.5</v>
      </c>
      <c r="E14" s="10">
        <v>24</v>
      </c>
      <c r="F14" s="28">
        <v>-0.35078322768711429</v>
      </c>
      <c r="G14" s="29"/>
      <c r="H14" s="28">
        <v>-0.93645668728484566</v>
      </c>
      <c r="I14" s="29"/>
    </row>
    <row r="15" spans="1:9" x14ac:dyDescent="0.15">
      <c r="A15" s="14"/>
      <c r="B15" s="10"/>
      <c r="D15" s="9">
        <v>4</v>
      </c>
      <c r="E15" s="10">
        <v>24</v>
      </c>
      <c r="F15" s="28">
        <v>-0.75680249530249843</v>
      </c>
      <c r="G15" s="29"/>
      <c r="H15" s="28">
        <v>-0.65364362085838135</v>
      </c>
      <c r="I15" s="29"/>
    </row>
    <row r="16" spans="1:9" x14ac:dyDescent="0.15">
      <c r="A16" s="15"/>
      <c r="B16" s="16"/>
      <c r="D16" s="9">
        <v>4.5</v>
      </c>
      <c r="E16" s="10">
        <v>24</v>
      </c>
      <c r="F16" s="28">
        <v>-0.97753011765738818</v>
      </c>
      <c r="G16" s="29"/>
      <c r="H16" s="28">
        <v>-0.21079579942734794</v>
      </c>
      <c r="I16" s="29"/>
    </row>
    <row r="17" spans="1:9" x14ac:dyDescent="0.15">
      <c r="D17" s="17">
        <v>5</v>
      </c>
      <c r="E17" s="16">
        <v>24</v>
      </c>
      <c r="F17" s="30">
        <v>-0.95892427465447616</v>
      </c>
      <c r="G17" s="31"/>
      <c r="H17" s="30">
        <v>0.28366218546323801</v>
      </c>
      <c r="I17" s="31"/>
    </row>
    <row r="18" spans="1:9" x14ac:dyDescent="0.15">
      <c r="A18" s="20" t="s">
        <v>32</v>
      </c>
      <c r="D18" s="18">
        <v>5.5</v>
      </c>
      <c r="E18" s="19">
        <v>24</v>
      </c>
      <c r="F18" s="32">
        <v>-0.70554032556323487</v>
      </c>
      <c r="G18" s="33"/>
      <c r="H18" s="32">
        <v>0.70866977428558386</v>
      </c>
      <c r="I18" s="33"/>
    </row>
    <row r="19" spans="1:9" x14ac:dyDescent="0.15">
      <c r="A19" s="7" t="s">
        <v>33</v>
      </c>
      <c r="B19" s="8">
        <v>0</v>
      </c>
      <c r="D19" s="9">
        <v>6</v>
      </c>
      <c r="E19" s="10">
        <v>24</v>
      </c>
      <c r="F19" s="28">
        <v>-0.27941549819599737</v>
      </c>
      <c r="G19" s="29"/>
      <c r="H19" s="28">
        <v>0.96017028663991488</v>
      </c>
      <c r="I19" s="29"/>
    </row>
    <row r="20" spans="1:9" x14ac:dyDescent="0.15">
      <c r="D20" s="9">
        <v>6.5</v>
      </c>
      <c r="E20" s="10">
        <v>24</v>
      </c>
      <c r="F20" s="28">
        <v>0.21511998808498617</v>
      </c>
      <c r="G20" s="29"/>
      <c r="H20" s="28">
        <v>0.97658762571624091</v>
      </c>
      <c r="I20" s="29"/>
    </row>
    <row r="21" spans="1:9" x14ac:dyDescent="0.15">
      <c r="A21" s="20" t="s">
        <v>30</v>
      </c>
      <c r="D21" s="9">
        <v>7</v>
      </c>
      <c r="E21" s="10">
        <v>24</v>
      </c>
      <c r="F21" s="28">
        <v>0.65698659871030785</v>
      </c>
      <c r="G21" s="29"/>
      <c r="H21" s="28">
        <v>0.75390225433320923</v>
      </c>
      <c r="I21" s="29"/>
    </row>
    <row r="22" spans="1:9" x14ac:dyDescent="0.15">
      <c r="A22" s="7" t="s">
        <v>15</v>
      </c>
      <c r="B22" s="8">
        <v>0</v>
      </c>
      <c r="D22" s="9">
        <v>7.5</v>
      </c>
      <c r="E22" s="10">
        <v>24</v>
      </c>
      <c r="F22" s="28">
        <v>0.93799997676202673</v>
      </c>
      <c r="G22" s="29"/>
      <c r="H22" s="28">
        <v>0.3466353178288275</v>
      </c>
      <c r="I22" s="29"/>
    </row>
    <row r="23" spans="1:9" x14ac:dyDescent="0.15">
      <c r="A23" s="7" t="s">
        <v>18</v>
      </c>
      <c r="B23" s="8">
        <v>0</v>
      </c>
      <c r="D23" s="9">
        <v>8</v>
      </c>
      <c r="E23" s="10">
        <v>24</v>
      </c>
      <c r="F23" s="28">
        <v>0.98935824660887939</v>
      </c>
      <c r="G23" s="29"/>
      <c r="H23" s="28">
        <v>-0.14550003380921234</v>
      </c>
      <c r="I23" s="29"/>
    </row>
    <row r="24" spans="1:9" x14ac:dyDescent="0.15">
      <c r="D24" s="9">
        <v>8.5</v>
      </c>
      <c r="E24" s="10">
        <v>16</v>
      </c>
      <c r="F24" s="28">
        <v>0.79848711261130756</v>
      </c>
      <c r="G24" s="29"/>
      <c r="H24" s="28">
        <v>-0.60201190267584348</v>
      </c>
      <c r="I24" s="29"/>
    </row>
    <row r="25" spans="1:9" x14ac:dyDescent="0.15">
      <c r="D25" s="9">
        <v>9</v>
      </c>
      <c r="E25" s="10">
        <v>24</v>
      </c>
      <c r="F25" s="28">
        <v>0.41211848523615585</v>
      </c>
      <c r="G25" s="29"/>
      <c r="H25" s="28">
        <v>-0.91113026186841084</v>
      </c>
      <c r="I25" s="29"/>
    </row>
    <row r="26" spans="1:9" x14ac:dyDescent="0.15">
      <c r="D26" s="9">
        <v>9.5</v>
      </c>
      <c r="E26" s="10">
        <v>24</v>
      </c>
      <c r="F26" s="28">
        <v>-7.5151120458493315E-2</v>
      </c>
      <c r="G26" s="29"/>
      <c r="H26" s="28">
        <v>-0.99717215617805777</v>
      </c>
      <c r="I26" s="29"/>
    </row>
    <row r="27" spans="1:9" x14ac:dyDescent="0.15">
      <c r="D27" s="17">
        <v>10</v>
      </c>
      <c r="E27" s="16">
        <v>24</v>
      </c>
      <c r="F27" s="30">
        <v>-0.5440211108773586</v>
      </c>
      <c r="G27" s="31"/>
      <c r="H27" s="30">
        <v>-0.83907152906095628</v>
      </c>
      <c r="I27" s="31"/>
    </row>
    <row r="28" spans="1:9" x14ac:dyDescent="0.15">
      <c r="D28" s="18"/>
      <c r="E28" s="19"/>
      <c r="F28" s="32"/>
      <c r="G28" s="33"/>
      <c r="H28" s="32"/>
      <c r="I28" s="33"/>
    </row>
    <row r="29" spans="1:9" x14ac:dyDescent="0.15">
      <c r="D29" s="9"/>
      <c r="E29" s="10"/>
      <c r="F29" s="28"/>
      <c r="G29" s="29"/>
      <c r="H29" s="28"/>
      <c r="I29" s="29"/>
    </row>
    <row r="30" spans="1:9" x14ac:dyDescent="0.15">
      <c r="D30" s="9"/>
      <c r="E30" s="10"/>
      <c r="F30" s="28"/>
      <c r="G30" s="29"/>
      <c r="H30" s="28"/>
      <c r="I30" s="29"/>
    </row>
    <row r="31" spans="1:9" x14ac:dyDescent="0.15">
      <c r="D31" s="9"/>
      <c r="E31" s="10"/>
      <c r="F31" s="28"/>
      <c r="G31" s="29"/>
      <c r="H31" s="28"/>
      <c r="I31" s="29"/>
    </row>
    <row r="32" spans="1:9" x14ac:dyDescent="0.15">
      <c r="D32" s="9"/>
      <c r="E32" s="10"/>
      <c r="F32" s="28"/>
      <c r="G32" s="29"/>
      <c r="H32" s="28"/>
      <c r="I32" s="29"/>
    </row>
    <row r="33" spans="4:9" x14ac:dyDescent="0.15">
      <c r="D33" s="9"/>
      <c r="E33" s="10"/>
      <c r="F33" s="28"/>
      <c r="G33" s="29"/>
      <c r="H33" s="28"/>
      <c r="I33" s="29"/>
    </row>
    <row r="34" spans="4:9" x14ac:dyDescent="0.15">
      <c r="D34" s="9"/>
      <c r="E34" s="10"/>
      <c r="F34" s="28"/>
      <c r="G34" s="29"/>
      <c r="H34" s="28"/>
      <c r="I34" s="29"/>
    </row>
    <row r="35" spans="4:9" x14ac:dyDescent="0.15">
      <c r="D35" s="9"/>
      <c r="E35" s="10"/>
      <c r="F35" s="28"/>
      <c r="G35" s="29"/>
      <c r="H35" s="28"/>
      <c r="I35" s="29"/>
    </row>
    <row r="36" spans="4:9" x14ac:dyDescent="0.15">
      <c r="D36" s="9"/>
      <c r="E36" s="10"/>
      <c r="F36" s="28"/>
      <c r="G36" s="29"/>
      <c r="H36" s="28"/>
      <c r="I36" s="29"/>
    </row>
    <row r="37" spans="4:9" x14ac:dyDescent="0.15">
      <c r="D37" s="17"/>
      <c r="E37" s="16"/>
      <c r="F37" s="30"/>
      <c r="G37" s="31"/>
      <c r="H37" s="30"/>
      <c r="I37" s="31"/>
    </row>
    <row r="38" spans="4:9" x14ac:dyDescent="0.15">
      <c r="D38" s="18"/>
      <c r="E38" s="19"/>
      <c r="F38" s="32"/>
      <c r="G38" s="33"/>
      <c r="H38" s="32"/>
      <c r="I38" s="33"/>
    </row>
    <row r="39" spans="4:9" x14ac:dyDescent="0.15">
      <c r="D39" s="9"/>
      <c r="E39" s="10"/>
      <c r="F39" s="28"/>
      <c r="G39" s="29"/>
      <c r="H39" s="28"/>
      <c r="I39" s="29"/>
    </row>
    <row r="40" spans="4:9" x14ac:dyDescent="0.15">
      <c r="D40" s="9"/>
      <c r="E40" s="10"/>
      <c r="F40" s="28"/>
      <c r="G40" s="29"/>
      <c r="H40" s="28"/>
      <c r="I40" s="29"/>
    </row>
    <row r="41" spans="4:9" x14ac:dyDescent="0.15">
      <c r="D41" s="9"/>
      <c r="E41" s="10"/>
      <c r="F41" s="28"/>
      <c r="G41" s="29"/>
      <c r="H41" s="28"/>
      <c r="I41" s="29"/>
    </row>
    <row r="42" spans="4:9" x14ac:dyDescent="0.15">
      <c r="D42" s="9"/>
      <c r="E42" s="10"/>
      <c r="F42" s="28"/>
      <c r="G42" s="29"/>
      <c r="H42" s="28"/>
      <c r="I42" s="29"/>
    </row>
    <row r="43" spans="4:9" x14ac:dyDescent="0.15">
      <c r="D43" s="9"/>
      <c r="E43" s="10"/>
      <c r="F43" s="28"/>
      <c r="G43" s="29"/>
      <c r="H43" s="28"/>
      <c r="I43" s="29"/>
    </row>
    <row r="44" spans="4:9" x14ac:dyDescent="0.15">
      <c r="D44" s="9"/>
      <c r="E44" s="10"/>
      <c r="F44" s="28"/>
      <c r="G44" s="29"/>
      <c r="H44" s="28"/>
      <c r="I44" s="29"/>
    </row>
    <row r="45" spans="4:9" x14ac:dyDescent="0.15">
      <c r="D45" s="9"/>
      <c r="E45" s="10"/>
      <c r="F45" s="28"/>
      <c r="G45" s="29"/>
      <c r="H45" s="28"/>
      <c r="I45" s="29"/>
    </row>
    <row r="46" spans="4:9" x14ac:dyDescent="0.15">
      <c r="D46" s="9"/>
      <c r="E46" s="10"/>
      <c r="F46" s="28"/>
      <c r="G46" s="29"/>
      <c r="H46" s="28"/>
      <c r="I46" s="29"/>
    </row>
    <row r="47" spans="4:9" x14ac:dyDescent="0.15">
      <c r="D47" s="17"/>
      <c r="E47" s="16"/>
      <c r="F47" s="30"/>
      <c r="G47" s="31"/>
      <c r="H47" s="30"/>
      <c r="I47" s="31"/>
    </row>
    <row r="48" spans="4:9" x14ac:dyDescent="0.15">
      <c r="D48" s="18"/>
      <c r="E48" s="19"/>
      <c r="F48" s="32"/>
      <c r="G48" s="33"/>
      <c r="H48" s="32"/>
      <c r="I48" s="33"/>
    </row>
    <row r="49" spans="4:9" x14ac:dyDescent="0.15">
      <c r="D49" s="9"/>
      <c r="E49" s="10"/>
      <c r="F49" s="28"/>
      <c r="G49" s="29"/>
      <c r="H49" s="28"/>
      <c r="I49" s="29"/>
    </row>
    <row r="50" spans="4:9" x14ac:dyDescent="0.15">
      <c r="D50" s="9"/>
      <c r="E50" s="10"/>
      <c r="F50" s="28"/>
      <c r="G50" s="29"/>
      <c r="H50" s="28"/>
      <c r="I50" s="29"/>
    </row>
    <row r="51" spans="4:9" x14ac:dyDescent="0.15">
      <c r="D51" s="9"/>
      <c r="E51" s="10"/>
      <c r="F51" s="28"/>
      <c r="G51" s="29"/>
      <c r="H51" s="28"/>
      <c r="I51" s="29"/>
    </row>
    <row r="52" spans="4:9" x14ac:dyDescent="0.15">
      <c r="D52" s="9"/>
      <c r="E52" s="10"/>
      <c r="F52" s="28"/>
      <c r="G52" s="29"/>
      <c r="H52" s="28"/>
      <c r="I52" s="29"/>
    </row>
    <row r="53" spans="4:9" x14ac:dyDescent="0.15">
      <c r="D53" s="9"/>
      <c r="E53" s="10"/>
      <c r="F53" s="28"/>
      <c r="G53" s="29"/>
      <c r="H53" s="28"/>
      <c r="I53" s="29"/>
    </row>
    <row r="54" spans="4:9" x14ac:dyDescent="0.15">
      <c r="D54" s="9"/>
      <c r="E54" s="10"/>
      <c r="F54" s="28"/>
      <c r="G54" s="29"/>
      <c r="H54" s="28"/>
      <c r="I54" s="29"/>
    </row>
    <row r="55" spans="4:9" x14ac:dyDescent="0.15">
      <c r="D55" s="9"/>
      <c r="E55" s="10"/>
      <c r="F55" s="28"/>
      <c r="G55" s="29"/>
      <c r="H55" s="28"/>
      <c r="I55" s="29"/>
    </row>
    <row r="56" spans="4:9" x14ac:dyDescent="0.15">
      <c r="D56" s="9"/>
      <c r="E56" s="10"/>
      <c r="F56" s="28"/>
      <c r="G56" s="29"/>
      <c r="H56" s="28"/>
      <c r="I56" s="29"/>
    </row>
    <row r="57" spans="4:9" x14ac:dyDescent="0.15">
      <c r="D57" s="17"/>
      <c r="E57" s="16"/>
      <c r="F57" s="30"/>
      <c r="G57" s="31"/>
      <c r="H57" s="30"/>
      <c r="I57" s="31"/>
    </row>
    <row r="58" spans="4:9" x14ac:dyDescent="0.15">
      <c r="E58" s="16">
        <f>SUM(E8:E57)</f>
        <v>522</v>
      </c>
    </row>
  </sheetData>
  <phoneticPr fontId="3"/>
  <dataValidations count="4">
    <dataValidation type="whole" allowBlank="1" showInputMessage="1" showErrorMessage="1" prompt="0: No      1: Yes_x000a_" sqref="B19" xr:uid="{467E64FC-CBAE-41B8-BD05-89038C332F16}">
      <formula1>0</formula1>
      <formula2>1</formula2>
    </dataValidation>
    <dataValidation type="whole" allowBlank="1" showInputMessage="1" showErrorMessage="1" prompt="0: Callback version_x000a_1: Reverse communication version" sqref="B23" xr:uid="{4416270D-6713-4CE5-991C-B6B8B7FC8DD0}">
      <formula1>0</formula1>
      <formula2>1</formula2>
    </dataValidation>
    <dataValidation type="whole" allowBlank="1" showInputMessage="1" showErrorMessage="1" sqref="B6" xr:uid="{5D9C5401-7665-4174-AC02-2F0EF533215A}">
      <formula1>1</formula1>
      <formula2>2</formula2>
    </dataValidation>
    <dataValidation type="whole" allowBlank="1" showInputMessage="1" showErrorMessage="1" prompt="0: Doprin_x000a_1: Odex2_x000a_" sqref="B22" xr:uid="{A1CB05AD-A1B2-4D41-A22A-12610E99092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3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ODE</vt:lpstr>
      <vt:lpstr>ODE (Dense outpu) (2)</vt:lpstr>
      <vt:lpstr>ODE (2nd order equations)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2012-08-03T09:08:30Z</dcterms:created>
  <dcterms:modified xsi:type="dcterms:W3CDTF">2021-01-08T02:32:49Z</dcterms:modified>
</cp:coreProperties>
</file>
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1\XLPack\sample\Full\en\VBA\"/>
    </mc:Choice>
  </mc:AlternateContent>
  <xr:revisionPtr revIDLastSave="0" documentId="13_ncr:1_{6493938D-49C0-429A-B377-2E48C883DED1}" xr6:coauthVersionLast="40" xr6:coauthVersionMax="40" xr10:uidLastSave="{00000000-0000-0000-0000-000000000000}"/>
  <bookViews>
    <workbookView xWindow="480" yWindow="120" windowWidth="25875" windowHeight="12330" xr2:uid="{00000000-000D-0000-FFFF-FFFF00000000}"/>
  </bookViews>
  <sheets>
    <sheet name="Sheet1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7" i="4" l="1"/>
  <c r="C63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B70" i="4"/>
  <c r="C70" i="4" s="1"/>
  <c r="B69" i="4"/>
  <c r="C69" i="4" s="1"/>
  <c r="B68" i="4"/>
  <c r="C68" i="4" s="1"/>
  <c r="B67" i="4"/>
  <c r="B66" i="4"/>
  <c r="C66" i="4" s="1"/>
  <c r="B65" i="4"/>
  <c r="C65" i="4" s="1"/>
  <c r="B64" i="4"/>
  <c r="C64" i="4" s="1"/>
  <c r="B63" i="4"/>
  <c r="B62" i="4"/>
  <c r="C62" i="4" s="1"/>
  <c r="B61" i="4"/>
  <c r="C61" i="4" s="1"/>
  <c r="B60" i="4"/>
  <c r="C60" i="4" s="1"/>
  <c r="B59" i="4"/>
  <c r="C59" i="4" s="1"/>
  <c r="B58" i="4"/>
  <c r="C58" i="4" s="1"/>
  <c r="B57" i="4"/>
  <c r="B56" i="4"/>
  <c r="B55" i="4"/>
  <c r="C55" i="4" s="1"/>
  <c r="B54" i="4"/>
  <c r="C54" i="4" s="1"/>
  <c r="B53" i="4"/>
  <c r="C53" i="4" s="1"/>
  <c r="B52" i="4"/>
  <c r="C52" i="4" s="1"/>
  <c r="B51" i="4"/>
  <c r="C51" i="4" s="1"/>
  <c r="B50" i="4"/>
  <c r="C50" i="4" s="1"/>
  <c r="B49" i="4"/>
  <c r="B48" i="4"/>
  <c r="C48" i="4" s="1"/>
  <c r="B47" i="4"/>
  <c r="B46" i="4"/>
  <c r="C46" i="4" s="1"/>
  <c r="B45" i="4"/>
  <c r="C45" i="4" s="1"/>
  <c r="B44" i="4"/>
  <c r="C44" i="4" s="1"/>
  <c r="B43" i="4"/>
  <c r="C43" i="4" s="1"/>
  <c r="B42" i="4"/>
  <c r="C42" i="4" s="1"/>
  <c r="B41" i="4"/>
  <c r="B40" i="4"/>
  <c r="C40" i="4" s="1"/>
  <c r="B39" i="4"/>
  <c r="C39" i="4" s="1"/>
  <c r="B38" i="4"/>
  <c r="C38" i="4" s="1"/>
  <c r="B37" i="4"/>
  <c r="C37" i="4" s="1"/>
  <c r="B36" i="4"/>
  <c r="C36" i="4" s="1"/>
  <c r="B35" i="4"/>
  <c r="C35" i="4" s="1"/>
  <c r="B34" i="4"/>
  <c r="C34" i="4" s="1"/>
  <c r="B33" i="4"/>
  <c r="B32" i="4"/>
  <c r="C32" i="4" s="1"/>
  <c r="B31" i="4"/>
  <c r="C31" i="4" s="1"/>
  <c r="B30" i="4"/>
  <c r="C30" i="4" s="1"/>
  <c r="B29" i="4"/>
  <c r="C29" i="4" s="1"/>
  <c r="B28" i="4"/>
  <c r="C28" i="4" s="1"/>
  <c r="B27" i="4"/>
  <c r="C27" i="4" s="1"/>
  <c r="B26" i="4"/>
  <c r="C26" i="4" s="1"/>
  <c r="B25" i="4"/>
  <c r="B24" i="4"/>
  <c r="C24" i="4" s="1"/>
  <c r="B23" i="4"/>
  <c r="C23" i="4" s="1"/>
  <c r="B22" i="4"/>
  <c r="C22" i="4" s="1"/>
  <c r="B21" i="4"/>
  <c r="C21" i="4" s="1"/>
  <c r="B20" i="4"/>
  <c r="C20" i="4" s="1"/>
  <c r="B19" i="4"/>
  <c r="C19" i="4" s="1"/>
  <c r="B18" i="4"/>
  <c r="C18" i="4" s="1"/>
  <c r="B17" i="4"/>
  <c r="B16" i="4"/>
  <c r="C16" i="4" s="1"/>
  <c r="B15" i="4"/>
  <c r="C15" i="4" s="1"/>
  <c r="B14" i="4"/>
  <c r="C14" i="4" s="1"/>
  <c r="B13" i="4"/>
  <c r="C13" i="4" s="1"/>
  <c r="B12" i="4"/>
  <c r="C12" i="4" s="1"/>
  <c r="B11" i="4"/>
  <c r="C11" i="4" s="1"/>
  <c r="C57" i="4"/>
  <c r="C56" i="4"/>
  <c r="C49" i="4"/>
  <c r="C47" i="4"/>
  <c r="C41" i="4"/>
  <c r="C33" i="4"/>
  <c r="C25" i="4"/>
  <c r="C17" i="4"/>
</calcChain>
</file>

<file path=xl/sharedStrings.xml><?xml version="1.0" encoding="utf-8"?>
<sst xmlns="http://schemas.openxmlformats.org/spreadsheetml/2006/main" count="11" uniqueCount="11">
  <si>
    <t>x</t>
    <phoneticPr fontId="3"/>
  </si>
  <si>
    <t>f(x)</t>
    <phoneticPr fontId="3"/>
  </si>
  <si>
    <t>No.</t>
    <phoneticPr fontId="3"/>
  </si>
  <si>
    <t>Power spectrum analysis by FFT</t>
    <phoneticPr fontId="3"/>
  </si>
  <si>
    <t>Power spectrum analysis by FFT</t>
  </si>
  <si>
    <t>Data</t>
    <phoneticPr fontId="3"/>
  </si>
  <si>
    <t>Power spectrum</t>
  </si>
  <si>
    <t>Example: 400Hz sine wave + 1400Hz sine wave</t>
  </si>
  <si>
    <t>Frequency (Hz)</t>
  </si>
  <si>
    <t xml:space="preserve">Number of data N = </t>
  </si>
  <si>
    <t xml:space="preserve">Sampling interval (sec)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</si>
</sst>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5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1" xfId="0" applyNumberForma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Sheet1!$E$11:$E$41</c:f>
              <c:numCache>
                <c:formatCode>General</c:formatCode>
                <c:ptCount val="3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899.99999999999989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1499.9999999999998</c:v>
                </c:pt>
                <c:pt idx="16">
                  <c:v>1600</c:v>
                </c:pt>
                <c:pt idx="17">
                  <c:v>1700</c:v>
                </c:pt>
                <c:pt idx="18">
                  <c:v>1799.9999999999998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2899.9999999999995</c:v>
                </c:pt>
                <c:pt idx="30">
                  <c:v>2999.9999999999995</c:v>
                </c:pt>
              </c:numCache>
            </c:numRef>
          </c:cat>
          <c:val>
            <c:numRef>
              <c:f>Sheet1!$F$11:$F$41</c:f>
              <c:numCache>
                <c:formatCode>General</c:formatCode>
                <c:ptCount val="31"/>
                <c:pt idx="0">
                  <c:v>1.1289585629844206E-29</c:v>
                </c:pt>
                <c:pt idx="1">
                  <c:v>2.4069777735624033E-29</c:v>
                </c:pt>
                <c:pt idx="2">
                  <c:v>1.395851207787044E-29</c:v>
                </c:pt>
                <c:pt idx="3">
                  <c:v>2.9578888739949872E-29</c:v>
                </c:pt>
                <c:pt idx="4">
                  <c:v>24.999999999999989</c:v>
                </c:pt>
                <c:pt idx="5">
                  <c:v>4.8340212124932313E-30</c:v>
                </c:pt>
                <c:pt idx="6">
                  <c:v>2.1798154547095577E-30</c:v>
                </c:pt>
                <c:pt idx="7">
                  <c:v>1.0610189348318851E-30</c:v>
                </c:pt>
                <c:pt idx="8">
                  <c:v>1.1149575245563932E-30</c:v>
                </c:pt>
                <c:pt idx="9">
                  <c:v>7.4014448422408469E-30</c:v>
                </c:pt>
                <c:pt idx="10">
                  <c:v>5.348190650119678E-30</c:v>
                </c:pt>
                <c:pt idx="11">
                  <c:v>1.8481696824316011E-29</c:v>
                </c:pt>
                <c:pt idx="12">
                  <c:v>1.0142264955918565E-29</c:v>
                </c:pt>
                <c:pt idx="13">
                  <c:v>1.3140424707672369E-29</c:v>
                </c:pt>
                <c:pt idx="14">
                  <c:v>25.000000000000011</c:v>
                </c:pt>
                <c:pt idx="15">
                  <c:v>8.6022521556836535E-30</c:v>
                </c:pt>
                <c:pt idx="16">
                  <c:v>1.0806117734078303E-29</c:v>
                </c:pt>
                <c:pt idx="17">
                  <c:v>1.187195000364168E-29</c:v>
                </c:pt>
                <c:pt idx="18">
                  <c:v>2.3092003650320898E-30</c:v>
                </c:pt>
                <c:pt idx="19">
                  <c:v>1.5715710023390673E-30</c:v>
                </c:pt>
                <c:pt idx="20">
                  <c:v>2.6449424720322257E-30</c:v>
                </c:pt>
                <c:pt idx="21">
                  <c:v>1.3431491715911609E-30</c:v>
                </c:pt>
                <c:pt idx="22">
                  <c:v>2.6154766162601281E-30</c:v>
                </c:pt>
                <c:pt idx="23">
                  <c:v>1.2479292200449941E-29</c:v>
                </c:pt>
                <c:pt idx="24">
                  <c:v>3.3864597849923435E-29</c:v>
                </c:pt>
                <c:pt idx="25">
                  <c:v>4.1023232261821436E-30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2E-438D-ABF1-C09F73FB9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4530640"/>
        <c:axId val="1064531184"/>
      </c:barChart>
      <c:catAx>
        <c:axId val="106453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4531184"/>
        <c:crosses val="autoZero"/>
        <c:auto val="1"/>
        <c:lblAlgn val="ctr"/>
        <c:lblOffset val="100"/>
        <c:noMultiLvlLbl val="0"/>
      </c:catAx>
      <c:valAx>
        <c:axId val="10645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453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Sheet1!$B$11:$B$70</c:f>
              <c:numCache>
                <c:formatCode>General</c:formatCode>
                <c:ptCount val="60"/>
                <c:pt idx="0">
                  <c:v>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6.0000000000000006E-4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1.2000000000000001E-3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1.8000000000000002E-3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2.4000000000000002E-3</c:v>
                </c:pt>
                <c:pt idx="13">
                  <c:v>2.6000000000000003E-3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3.4000000000000002E-3</c:v>
                </c:pt>
                <c:pt idx="18">
                  <c:v>3.6000000000000003E-3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4.2000000000000006E-3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4.8000000000000004E-3</c:v>
                </c:pt>
                <c:pt idx="25">
                  <c:v>5.0000000000000001E-3</c:v>
                </c:pt>
                <c:pt idx="26">
                  <c:v>5.2000000000000006E-3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5.8000000000000005E-3</c:v>
                </c:pt>
                <c:pt idx="30">
                  <c:v>6.0000000000000001E-3</c:v>
                </c:pt>
                <c:pt idx="31">
                  <c:v>6.2000000000000006E-3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6.8000000000000005E-3</c:v>
                </c:pt>
                <c:pt idx="35">
                  <c:v>7.0000000000000001E-3</c:v>
                </c:pt>
                <c:pt idx="36">
                  <c:v>7.2000000000000007E-3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7.8000000000000005E-3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8.4000000000000012E-3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9.0000000000000011E-3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9.6000000000000009E-3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1.0400000000000001E-2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1.1000000000000001E-2</c:v>
                </c:pt>
                <c:pt idx="56">
                  <c:v>1.12E-2</c:v>
                </c:pt>
                <c:pt idx="57">
                  <c:v>1.14E-2</c:v>
                </c:pt>
                <c:pt idx="58">
                  <c:v>1.1600000000000001E-2</c:v>
                </c:pt>
                <c:pt idx="59">
                  <c:v>1.18E-2</c:v>
                </c:pt>
              </c:numCache>
            </c:numRef>
          </c:xVal>
          <c:yVal>
            <c:numRef>
              <c:f>Sheet1!$C$11:$C$70</c:f>
              <c:numCache>
                <c:formatCode>General</c:formatCode>
                <c:ptCount val="60"/>
                <c:pt idx="0">
                  <c:v>0</c:v>
                </c:pt>
                <c:pt idx="1">
                  <c:v>1.464040924830404</c:v>
                </c:pt>
                <c:pt idx="2">
                  <c:v>0.47620337281733716</c:v>
                </c:pt>
                <c:pt idx="3">
                  <c:v>0.15369880292625659</c:v>
                </c:pt>
                <c:pt idx="4">
                  <c:v>1.5893741583947081</c:v>
                </c:pt>
                <c:pt idx="5">
                  <c:v>1.1755705045849467</c:v>
                </c:pt>
                <c:pt idx="6">
                  <c:v>-0.77949381890171554</c:v>
                </c:pt>
                <c:pt idx="7">
                  <c:v>-0.61681443984953355</c:v>
                </c:pt>
                <c:pt idx="8">
                  <c:v>0.22751348565248219</c:v>
                </c:pt>
                <c:pt idx="9">
                  <c:v>-1.1076204842929918</c:v>
                </c:pt>
                <c:pt idx="10">
                  <c:v>-1.9021130325903073</c:v>
                </c:pt>
                <c:pt idx="11">
                  <c:v>-0.20279343182697307</c:v>
                </c:pt>
                <c:pt idx="12">
                  <c:v>0.52182335561093429</c:v>
                </c:pt>
                <c:pt idx="13">
                  <c:v>-0.52182335561093429</c:v>
                </c:pt>
                <c:pt idx="14">
                  <c:v>0.20279343182697185</c:v>
                </c:pt>
                <c:pt idx="15">
                  <c:v>1.9021130325903071</c:v>
                </c:pt>
                <c:pt idx="16">
                  <c:v>1.1076204842929933</c:v>
                </c:pt>
                <c:pt idx="17">
                  <c:v>-0.22751348565248319</c:v>
                </c:pt>
                <c:pt idx="18">
                  <c:v>0.61681443984952855</c:v>
                </c:pt>
                <c:pt idx="19">
                  <c:v>0.77949381890171698</c:v>
                </c:pt>
                <c:pt idx="20">
                  <c:v>-1.1755705045849449</c:v>
                </c:pt>
                <c:pt idx="21">
                  <c:v>-1.589374158394707</c:v>
                </c:pt>
                <c:pt idx="22">
                  <c:v>-0.15369880292625637</c:v>
                </c:pt>
                <c:pt idx="23">
                  <c:v>-0.47620337281733432</c:v>
                </c:pt>
                <c:pt idx="24">
                  <c:v>-1.4640409248304036</c:v>
                </c:pt>
                <c:pt idx="25">
                  <c:v>-2.205267218835516E-15</c:v>
                </c:pt>
                <c:pt idx="26">
                  <c:v>1.4640409248304052</c:v>
                </c:pt>
                <c:pt idx="27">
                  <c:v>0.47620337281733799</c:v>
                </c:pt>
                <c:pt idx="28">
                  <c:v>0.15369880292625471</c:v>
                </c:pt>
                <c:pt idx="29">
                  <c:v>1.5893741583947087</c:v>
                </c:pt>
                <c:pt idx="30">
                  <c:v>1.1755705045849469</c:v>
                </c:pt>
                <c:pt idx="31">
                  <c:v>-0.77949381890171809</c:v>
                </c:pt>
                <c:pt idx="32">
                  <c:v>-0.61681443984953421</c:v>
                </c:pt>
                <c:pt idx="33">
                  <c:v>0.22751348565248075</c:v>
                </c:pt>
                <c:pt idx="34">
                  <c:v>-1.1076204842929869</c:v>
                </c:pt>
                <c:pt idx="35">
                  <c:v>-1.9021130325903104</c:v>
                </c:pt>
                <c:pt idx="36">
                  <c:v>-0.20279343182697546</c:v>
                </c:pt>
                <c:pt idx="37">
                  <c:v>0.52182335561093585</c:v>
                </c:pt>
                <c:pt idx="38">
                  <c:v>-0.52182335561092597</c:v>
                </c:pt>
                <c:pt idx="39">
                  <c:v>0.2027934318269688</c:v>
                </c:pt>
                <c:pt idx="40">
                  <c:v>1.902113032590306</c:v>
                </c:pt>
                <c:pt idx="41">
                  <c:v>1.1076204842929909</c:v>
                </c:pt>
                <c:pt idx="42">
                  <c:v>-0.22751348565248464</c:v>
                </c:pt>
                <c:pt idx="43">
                  <c:v>0.61681443984952733</c:v>
                </c:pt>
                <c:pt idx="44">
                  <c:v>0.77949381890171332</c:v>
                </c:pt>
                <c:pt idx="45">
                  <c:v>-1.1755705045849516</c:v>
                </c:pt>
                <c:pt idx="46">
                  <c:v>-1.5893741583947125</c:v>
                </c:pt>
                <c:pt idx="47">
                  <c:v>-0.15369880292625748</c:v>
                </c:pt>
                <c:pt idx="48">
                  <c:v>-0.47620337281733865</c:v>
                </c:pt>
                <c:pt idx="49">
                  <c:v>-1.464040924830404</c:v>
                </c:pt>
                <c:pt idx="50">
                  <c:v>-4.410534437671032E-15</c:v>
                </c:pt>
                <c:pt idx="51">
                  <c:v>1.4640409248304067</c:v>
                </c:pt>
                <c:pt idx="52">
                  <c:v>0.4762033728173346</c:v>
                </c:pt>
                <c:pt idx="53">
                  <c:v>0.15369880292625393</c:v>
                </c:pt>
                <c:pt idx="54">
                  <c:v>1.589374158394707</c:v>
                </c:pt>
                <c:pt idx="55">
                  <c:v>1.1755705045849416</c:v>
                </c:pt>
                <c:pt idx="56">
                  <c:v>-0.7794938189017121</c:v>
                </c:pt>
                <c:pt idx="57">
                  <c:v>-0.61681443984953543</c:v>
                </c:pt>
                <c:pt idx="58">
                  <c:v>0.22751348565248175</c:v>
                </c:pt>
                <c:pt idx="59">
                  <c:v>-1.1076204842929842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49-4E8A-A2ED-DE5EA6AE7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210288"/>
        <c:axId val="1804053744"/>
      </c:scatterChart>
      <c:valAx>
        <c:axId val="1701210288"/>
        <c:scaling>
          <c:orientation val="minMax"/>
          <c:max val="1.2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4053744"/>
        <c:crosses val="autoZero"/>
        <c:crossBetween val="midCat"/>
      </c:valAx>
      <c:valAx>
        <c:axId val="180405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01210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523875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20</xdr:row>
      <xdr:rowOff>14287</xdr:rowOff>
    </xdr:from>
    <xdr:to>
      <xdr:col>13</xdr:col>
      <xdr:colOff>461962</xdr:colOff>
      <xdr:row>36</xdr:row>
      <xdr:rowOff>14287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13</xdr:col>
      <xdr:colOff>457200</xdr:colOff>
      <xdr:row>19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0"/>
  <sheetViews>
    <sheetView tabSelected="1" workbookViewId="0"/>
  </sheetViews>
  <sheetFormatPr defaultRowHeight="13.5" x14ac:dyDescent="0.15"/>
  <cols>
    <col min="1" max="1" width="21.625" customWidth="1"/>
    <col min="2" max="3" width="12.625" customWidth="1"/>
    <col min="4" max="4" width="6.875" customWidth="1"/>
    <col min="5" max="6" width="12.625" customWidth="1"/>
  </cols>
  <sheetData>
    <row r="1" spans="1:6" x14ac:dyDescent="0.15">
      <c r="A1" s="1" t="s">
        <v>3</v>
      </c>
    </row>
    <row r="2" spans="1:6" x14ac:dyDescent="0.15">
      <c r="A2" s="1"/>
    </row>
    <row r="3" spans="1:6" x14ac:dyDescent="0.15">
      <c r="A3" s="2"/>
    </row>
    <row r="5" spans="1:6" x14ac:dyDescent="0.15">
      <c r="A5" t="s">
        <v>4</v>
      </c>
    </row>
    <row r="6" spans="1:6" x14ac:dyDescent="0.15">
      <c r="A6" s="4" t="s">
        <v>9</v>
      </c>
      <c r="B6" s="11">
        <v>50</v>
      </c>
    </row>
    <row r="7" spans="1:6" x14ac:dyDescent="0.15">
      <c r="A7" s="4" t="s">
        <v>10</v>
      </c>
      <c r="B7" s="11">
        <v>2.0000000000000001E-4</v>
      </c>
      <c r="D7" t="s">
        <v>7</v>
      </c>
    </row>
    <row r="8" spans="1:6" x14ac:dyDescent="0.15">
      <c r="C8" s="3"/>
    </row>
    <row r="9" spans="1:6" x14ac:dyDescent="0.15">
      <c r="A9" t="s">
        <v>5</v>
      </c>
      <c r="E9" t="s">
        <v>6</v>
      </c>
    </row>
    <row r="10" spans="1:6" x14ac:dyDescent="0.15">
      <c r="A10" s="5" t="s">
        <v>2</v>
      </c>
      <c r="B10" s="5" t="s">
        <v>0</v>
      </c>
      <c r="C10" s="5" t="s">
        <v>1</v>
      </c>
      <c r="E10" s="5" t="s">
        <v>8</v>
      </c>
      <c r="F10" s="5"/>
    </row>
    <row r="11" spans="1:6" x14ac:dyDescent="0.15">
      <c r="A11" s="6">
        <v>0</v>
      </c>
      <c r="B11" s="6">
        <f>B$7*A11</f>
        <v>0</v>
      </c>
      <c r="C11" s="10">
        <f>SIN(2*PI()*1400*B11)+SIN(2*PI()*400*B11)</f>
        <v>0</v>
      </c>
      <c r="E11" s="6">
        <f>A11/B$6/B$7</f>
        <v>0</v>
      </c>
      <c r="F11" s="6">
        <v>1.1289585629844206E-29</v>
      </c>
    </row>
    <row r="12" spans="1:6" x14ac:dyDescent="0.15">
      <c r="A12" s="7">
        <v>1</v>
      </c>
      <c r="B12" s="7">
        <f t="shared" ref="B12:B70" si="0">B$7*A12</f>
        <v>2.0000000000000001E-4</v>
      </c>
      <c r="C12" s="12">
        <f t="shared" ref="C12:C70" si="1">SIN(2*PI()*1400*B12)+SIN(2*PI()*400*B12)</f>
        <v>1.464040924830404</v>
      </c>
      <c r="E12" s="7">
        <f t="shared" ref="E12:E41" si="2">A12/B$6/B$7</f>
        <v>100</v>
      </c>
      <c r="F12" s="7">
        <v>2.4069777735624033E-29</v>
      </c>
    </row>
    <row r="13" spans="1:6" x14ac:dyDescent="0.15">
      <c r="A13" s="7">
        <v>2</v>
      </c>
      <c r="B13" s="7">
        <f t="shared" si="0"/>
        <v>4.0000000000000002E-4</v>
      </c>
      <c r="C13" s="12">
        <f t="shared" si="1"/>
        <v>0.47620337281733716</v>
      </c>
      <c r="E13" s="7">
        <f t="shared" si="2"/>
        <v>200</v>
      </c>
      <c r="F13" s="7">
        <v>1.395851207787044E-29</v>
      </c>
    </row>
    <row r="14" spans="1:6" x14ac:dyDescent="0.15">
      <c r="A14" s="7">
        <v>3</v>
      </c>
      <c r="B14" s="7">
        <f t="shared" si="0"/>
        <v>6.0000000000000006E-4</v>
      </c>
      <c r="C14" s="12">
        <f t="shared" si="1"/>
        <v>0.15369880292625659</v>
      </c>
      <c r="E14" s="7">
        <f t="shared" si="2"/>
        <v>300</v>
      </c>
      <c r="F14" s="7">
        <v>2.9578888739949872E-29</v>
      </c>
    </row>
    <row r="15" spans="1:6" x14ac:dyDescent="0.15">
      <c r="A15" s="7">
        <v>4</v>
      </c>
      <c r="B15" s="7">
        <f t="shared" si="0"/>
        <v>8.0000000000000004E-4</v>
      </c>
      <c r="C15" s="12">
        <f t="shared" si="1"/>
        <v>1.5893741583947081</v>
      </c>
      <c r="E15" s="7">
        <f t="shared" si="2"/>
        <v>400</v>
      </c>
      <c r="F15" s="7">
        <v>24.999999999999989</v>
      </c>
    </row>
    <row r="16" spans="1:6" x14ac:dyDescent="0.15">
      <c r="A16" s="7">
        <v>5</v>
      </c>
      <c r="B16" s="7">
        <f t="shared" si="0"/>
        <v>1E-3</v>
      </c>
      <c r="C16" s="12">
        <f t="shared" si="1"/>
        <v>1.1755705045849467</v>
      </c>
      <c r="E16" s="7">
        <f t="shared" si="2"/>
        <v>500</v>
      </c>
      <c r="F16" s="7">
        <v>4.8340212124932313E-30</v>
      </c>
    </row>
    <row r="17" spans="1:6" x14ac:dyDescent="0.15">
      <c r="A17" s="7">
        <v>6</v>
      </c>
      <c r="B17" s="7">
        <f t="shared" si="0"/>
        <v>1.2000000000000001E-3</v>
      </c>
      <c r="C17" s="12">
        <f t="shared" si="1"/>
        <v>-0.77949381890171554</v>
      </c>
      <c r="E17" s="7">
        <f t="shared" si="2"/>
        <v>600</v>
      </c>
      <c r="F17" s="7">
        <v>2.1798154547095577E-30</v>
      </c>
    </row>
    <row r="18" spans="1:6" x14ac:dyDescent="0.15">
      <c r="A18" s="7">
        <v>7</v>
      </c>
      <c r="B18" s="7">
        <f t="shared" si="0"/>
        <v>1.4E-3</v>
      </c>
      <c r="C18" s="12">
        <f t="shared" si="1"/>
        <v>-0.61681443984953355</v>
      </c>
      <c r="E18" s="7">
        <f t="shared" si="2"/>
        <v>700</v>
      </c>
      <c r="F18" s="7">
        <v>1.0610189348318851E-30</v>
      </c>
    </row>
    <row r="19" spans="1:6" x14ac:dyDescent="0.15">
      <c r="A19" s="7">
        <v>8</v>
      </c>
      <c r="B19" s="7">
        <f t="shared" si="0"/>
        <v>1.6000000000000001E-3</v>
      </c>
      <c r="C19" s="12">
        <f t="shared" si="1"/>
        <v>0.22751348565248219</v>
      </c>
      <c r="E19" s="7">
        <f t="shared" si="2"/>
        <v>800</v>
      </c>
      <c r="F19" s="7">
        <v>1.1149575245563932E-30</v>
      </c>
    </row>
    <row r="20" spans="1:6" x14ac:dyDescent="0.15">
      <c r="A20" s="8">
        <v>9</v>
      </c>
      <c r="B20" s="8">
        <f t="shared" si="0"/>
        <v>1.8000000000000002E-3</v>
      </c>
      <c r="C20" s="13">
        <f t="shared" si="1"/>
        <v>-1.1076204842929918</v>
      </c>
      <c r="E20" s="8">
        <f t="shared" si="2"/>
        <v>899.99999999999989</v>
      </c>
      <c r="F20" s="8">
        <v>7.4014448422408469E-30</v>
      </c>
    </row>
    <row r="21" spans="1:6" x14ac:dyDescent="0.15">
      <c r="A21" s="6">
        <v>10</v>
      </c>
      <c r="B21" s="6">
        <f t="shared" si="0"/>
        <v>2E-3</v>
      </c>
      <c r="C21" s="10">
        <f t="shared" si="1"/>
        <v>-1.9021130325903073</v>
      </c>
      <c r="E21" s="9">
        <f t="shared" si="2"/>
        <v>1000</v>
      </c>
      <c r="F21" s="9">
        <v>5.348190650119678E-30</v>
      </c>
    </row>
    <row r="22" spans="1:6" x14ac:dyDescent="0.15">
      <c r="A22" s="7">
        <v>11</v>
      </c>
      <c r="B22" s="7">
        <f t="shared" si="0"/>
        <v>2.2000000000000001E-3</v>
      </c>
      <c r="C22" s="12">
        <f t="shared" si="1"/>
        <v>-0.20279343182697307</v>
      </c>
      <c r="E22" s="7">
        <f t="shared" si="2"/>
        <v>1100</v>
      </c>
      <c r="F22" s="7">
        <v>1.8481696824316011E-29</v>
      </c>
    </row>
    <row r="23" spans="1:6" x14ac:dyDescent="0.15">
      <c r="A23" s="7">
        <v>12</v>
      </c>
      <c r="B23" s="7">
        <f t="shared" si="0"/>
        <v>2.4000000000000002E-3</v>
      </c>
      <c r="C23" s="12">
        <f t="shared" si="1"/>
        <v>0.52182335561093429</v>
      </c>
      <c r="E23" s="7">
        <f t="shared" si="2"/>
        <v>1200</v>
      </c>
      <c r="F23" s="7">
        <v>1.0142264955918565E-29</v>
      </c>
    </row>
    <row r="24" spans="1:6" x14ac:dyDescent="0.15">
      <c r="A24" s="7">
        <v>13</v>
      </c>
      <c r="B24" s="7">
        <f t="shared" si="0"/>
        <v>2.6000000000000003E-3</v>
      </c>
      <c r="C24" s="12">
        <f t="shared" si="1"/>
        <v>-0.52182335561093429</v>
      </c>
      <c r="E24" s="7">
        <f t="shared" si="2"/>
        <v>1300</v>
      </c>
      <c r="F24" s="7">
        <v>1.3140424707672369E-29</v>
      </c>
    </row>
    <row r="25" spans="1:6" x14ac:dyDescent="0.15">
      <c r="A25" s="7">
        <v>14</v>
      </c>
      <c r="B25" s="7">
        <f t="shared" si="0"/>
        <v>2.8E-3</v>
      </c>
      <c r="C25" s="12">
        <f t="shared" si="1"/>
        <v>0.20279343182697185</v>
      </c>
      <c r="E25" s="7">
        <f t="shared" si="2"/>
        <v>1400</v>
      </c>
      <c r="F25" s="7">
        <v>25.000000000000011</v>
      </c>
    </row>
    <row r="26" spans="1:6" x14ac:dyDescent="0.15">
      <c r="A26" s="7">
        <v>15</v>
      </c>
      <c r="B26" s="7">
        <f t="shared" si="0"/>
        <v>3.0000000000000001E-3</v>
      </c>
      <c r="C26" s="12">
        <f t="shared" si="1"/>
        <v>1.9021130325903071</v>
      </c>
      <c r="E26" s="7">
        <f t="shared" si="2"/>
        <v>1499.9999999999998</v>
      </c>
      <c r="F26" s="7">
        <v>8.6022521556836535E-30</v>
      </c>
    </row>
    <row r="27" spans="1:6" x14ac:dyDescent="0.15">
      <c r="A27" s="7">
        <v>16</v>
      </c>
      <c r="B27" s="7">
        <f t="shared" si="0"/>
        <v>3.2000000000000002E-3</v>
      </c>
      <c r="C27" s="12">
        <f t="shared" si="1"/>
        <v>1.1076204842929933</v>
      </c>
      <c r="E27" s="7">
        <f t="shared" si="2"/>
        <v>1600</v>
      </c>
      <c r="F27" s="7">
        <v>1.0806117734078303E-29</v>
      </c>
    </row>
    <row r="28" spans="1:6" x14ac:dyDescent="0.15">
      <c r="A28" s="7">
        <v>17</v>
      </c>
      <c r="B28" s="7">
        <f t="shared" si="0"/>
        <v>3.4000000000000002E-3</v>
      </c>
      <c r="C28" s="12">
        <f t="shared" si="1"/>
        <v>-0.22751348565248319</v>
      </c>
      <c r="E28" s="7">
        <f t="shared" si="2"/>
        <v>1700</v>
      </c>
      <c r="F28" s="7">
        <v>1.187195000364168E-29</v>
      </c>
    </row>
    <row r="29" spans="1:6" x14ac:dyDescent="0.15">
      <c r="A29" s="7">
        <v>18</v>
      </c>
      <c r="B29" s="7">
        <f t="shared" si="0"/>
        <v>3.6000000000000003E-3</v>
      </c>
      <c r="C29" s="12">
        <f t="shared" si="1"/>
        <v>0.61681443984952855</v>
      </c>
      <c r="E29" s="7">
        <f t="shared" si="2"/>
        <v>1799.9999999999998</v>
      </c>
      <c r="F29" s="7">
        <v>2.3092003650320898E-30</v>
      </c>
    </row>
    <row r="30" spans="1:6" x14ac:dyDescent="0.15">
      <c r="A30" s="8">
        <v>19</v>
      </c>
      <c r="B30" s="8">
        <f t="shared" si="0"/>
        <v>3.8E-3</v>
      </c>
      <c r="C30" s="13">
        <f t="shared" si="1"/>
        <v>0.77949381890171698</v>
      </c>
      <c r="E30" s="8">
        <f t="shared" si="2"/>
        <v>1900</v>
      </c>
      <c r="F30" s="8">
        <v>1.5715710023390673E-30</v>
      </c>
    </row>
    <row r="31" spans="1:6" x14ac:dyDescent="0.15">
      <c r="A31" s="6">
        <v>20</v>
      </c>
      <c r="B31" s="6">
        <f t="shared" si="0"/>
        <v>4.0000000000000001E-3</v>
      </c>
      <c r="C31" s="10">
        <f t="shared" si="1"/>
        <v>-1.1755705045849449</v>
      </c>
      <c r="E31" s="9">
        <f t="shared" si="2"/>
        <v>2000</v>
      </c>
      <c r="F31" s="9">
        <v>2.6449424720322257E-30</v>
      </c>
    </row>
    <row r="32" spans="1:6" x14ac:dyDescent="0.15">
      <c r="A32" s="7">
        <v>21</v>
      </c>
      <c r="B32" s="7">
        <f t="shared" si="0"/>
        <v>4.2000000000000006E-3</v>
      </c>
      <c r="C32" s="12">
        <f t="shared" si="1"/>
        <v>-1.589374158394707</v>
      </c>
      <c r="E32" s="7">
        <f t="shared" si="2"/>
        <v>2100</v>
      </c>
      <c r="F32" s="7">
        <v>1.3431491715911609E-30</v>
      </c>
    </row>
    <row r="33" spans="1:6" x14ac:dyDescent="0.15">
      <c r="A33" s="7">
        <v>22</v>
      </c>
      <c r="B33" s="7">
        <f t="shared" si="0"/>
        <v>4.4000000000000003E-3</v>
      </c>
      <c r="C33" s="12">
        <f t="shared" si="1"/>
        <v>-0.15369880292625637</v>
      </c>
      <c r="E33" s="7">
        <f t="shared" si="2"/>
        <v>2200</v>
      </c>
      <c r="F33" s="7">
        <v>2.6154766162601281E-30</v>
      </c>
    </row>
    <row r="34" spans="1:6" x14ac:dyDescent="0.15">
      <c r="A34" s="7">
        <v>23</v>
      </c>
      <c r="B34" s="7">
        <f t="shared" si="0"/>
        <v>4.5999999999999999E-3</v>
      </c>
      <c r="C34" s="12">
        <f t="shared" si="1"/>
        <v>-0.47620337281733432</v>
      </c>
      <c r="E34" s="7">
        <f t="shared" si="2"/>
        <v>2300</v>
      </c>
      <c r="F34" s="7">
        <v>1.2479292200449941E-29</v>
      </c>
    </row>
    <row r="35" spans="1:6" x14ac:dyDescent="0.15">
      <c r="A35" s="7">
        <v>24</v>
      </c>
      <c r="B35" s="7">
        <f t="shared" si="0"/>
        <v>4.8000000000000004E-3</v>
      </c>
      <c r="C35" s="12">
        <f t="shared" si="1"/>
        <v>-1.4640409248304036</v>
      </c>
      <c r="E35" s="7">
        <f t="shared" si="2"/>
        <v>2400</v>
      </c>
      <c r="F35" s="7">
        <v>3.3864597849923435E-29</v>
      </c>
    </row>
    <row r="36" spans="1:6" x14ac:dyDescent="0.15">
      <c r="A36" s="7">
        <v>25</v>
      </c>
      <c r="B36" s="7">
        <f t="shared" si="0"/>
        <v>5.0000000000000001E-3</v>
      </c>
      <c r="C36" s="12">
        <f t="shared" si="1"/>
        <v>-2.205267218835516E-15</v>
      </c>
      <c r="E36" s="7">
        <f t="shared" si="2"/>
        <v>2500</v>
      </c>
      <c r="F36" s="7">
        <v>4.1023232261821436E-30</v>
      </c>
    </row>
    <row r="37" spans="1:6" x14ac:dyDescent="0.15">
      <c r="A37" s="7">
        <v>26</v>
      </c>
      <c r="B37" s="7">
        <f t="shared" si="0"/>
        <v>5.2000000000000006E-3</v>
      </c>
      <c r="C37" s="12">
        <f t="shared" si="1"/>
        <v>1.4640409248304052</v>
      </c>
      <c r="E37" s="7">
        <f t="shared" si="2"/>
        <v>2600</v>
      </c>
      <c r="F37" s="7"/>
    </row>
    <row r="38" spans="1:6" x14ac:dyDescent="0.15">
      <c r="A38" s="7">
        <v>27</v>
      </c>
      <c r="B38" s="7">
        <f t="shared" si="0"/>
        <v>5.4000000000000003E-3</v>
      </c>
      <c r="C38" s="12">
        <f t="shared" si="1"/>
        <v>0.47620337281733799</v>
      </c>
      <c r="E38" s="7">
        <f t="shared" si="2"/>
        <v>2700</v>
      </c>
      <c r="F38" s="7"/>
    </row>
    <row r="39" spans="1:6" x14ac:dyDescent="0.15">
      <c r="A39" s="7">
        <v>28</v>
      </c>
      <c r="B39" s="7">
        <f t="shared" si="0"/>
        <v>5.5999999999999999E-3</v>
      </c>
      <c r="C39" s="12">
        <f t="shared" si="1"/>
        <v>0.15369880292625471</v>
      </c>
      <c r="E39" s="7">
        <f t="shared" si="2"/>
        <v>2800</v>
      </c>
      <c r="F39" s="7"/>
    </row>
    <row r="40" spans="1:6" x14ac:dyDescent="0.15">
      <c r="A40" s="8">
        <v>29</v>
      </c>
      <c r="B40" s="8">
        <f t="shared" si="0"/>
        <v>5.8000000000000005E-3</v>
      </c>
      <c r="C40" s="13">
        <f t="shared" si="1"/>
        <v>1.5893741583947087</v>
      </c>
      <c r="E40" s="8">
        <f t="shared" si="2"/>
        <v>2899.9999999999995</v>
      </c>
      <c r="F40" s="8"/>
    </row>
    <row r="41" spans="1:6" x14ac:dyDescent="0.15">
      <c r="A41" s="6">
        <v>30</v>
      </c>
      <c r="B41" s="6">
        <f t="shared" si="0"/>
        <v>6.0000000000000001E-3</v>
      </c>
      <c r="C41" s="10">
        <f t="shared" si="1"/>
        <v>1.1755705045849469</v>
      </c>
      <c r="E41" s="14">
        <f t="shared" si="2"/>
        <v>2999.9999999999995</v>
      </c>
      <c r="F41" s="14"/>
    </row>
    <row r="42" spans="1:6" x14ac:dyDescent="0.15">
      <c r="A42" s="7">
        <v>31</v>
      </c>
      <c r="B42" s="7">
        <f t="shared" si="0"/>
        <v>6.2000000000000006E-3</v>
      </c>
      <c r="C42" s="12">
        <f t="shared" si="1"/>
        <v>-0.77949381890171809</v>
      </c>
    </row>
    <row r="43" spans="1:6" x14ac:dyDescent="0.15">
      <c r="A43" s="7">
        <v>32</v>
      </c>
      <c r="B43" s="7">
        <f t="shared" si="0"/>
        <v>6.4000000000000003E-3</v>
      </c>
      <c r="C43" s="12">
        <f t="shared" si="1"/>
        <v>-0.61681443984953421</v>
      </c>
    </row>
    <row r="44" spans="1:6" x14ac:dyDescent="0.15">
      <c r="A44" s="7">
        <v>33</v>
      </c>
      <c r="B44" s="7">
        <f t="shared" si="0"/>
        <v>6.6E-3</v>
      </c>
      <c r="C44" s="12">
        <f t="shared" si="1"/>
        <v>0.22751348565248075</v>
      </c>
    </row>
    <row r="45" spans="1:6" x14ac:dyDescent="0.15">
      <c r="A45" s="7">
        <v>34</v>
      </c>
      <c r="B45" s="7">
        <f t="shared" si="0"/>
        <v>6.8000000000000005E-3</v>
      </c>
      <c r="C45" s="12">
        <f t="shared" si="1"/>
        <v>-1.1076204842929869</v>
      </c>
    </row>
    <row r="46" spans="1:6" x14ac:dyDescent="0.15">
      <c r="A46" s="7">
        <v>35</v>
      </c>
      <c r="B46" s="7">
        <f t="shared" si="0"/>
        <v>7.0000000000000001E-3</v>
      </c>
      <c r="C46" s="12">
        <f t="shared" si="1"/>
        <v>-1.9021130325903104</v>
      </c>
    </row>
    <row r="47" spans="1:6" x14ac:dyDescent="0.15">
      <c r="A47" s="7">
        <v>36</v>
      </c>
      <c r="B47" s="7">
        <f t="shared" si="0"/>
        <v>7.2000000000000007E-3</v>
      </c>
      <c r="C47" s="12">
        <f t="shared" si="1"/>
        <v>-0.20279343182697546</v>
      </c>
    </row>
    <row r="48" spans="1:6" x14ac:dyDescent="0.15">
      <c r="A48" s="7">
        <v>37</v>
      </c>
      <c r="B48" s="7">
        <f t="shared" si="0"/>
        <v>7.4000000000000003E-3</v>
      </c>
      <c r="C48" s="12">
        <f t="shared" si="1"/>
        <v>0.52182335561093585</v>
      </c>
    </row>
    <row r="49" spans="1:3" x14ac:dyDescent="0.15">
      <c r="A49" s="7">
        <v>38</v>
      </c>
      <c r="B49" s="7">
        <f t="shared" si="0"/>
        <v>7.6E-3</v>
      </c>
      <c r="C49" s="12">
        <f t="shared" si="1"/>
        <v>-0.52182335561092597</v>
      </c>
    </row>
    <row r="50" spans="1:3" x14ac:dyDescent="0.15">
      <c r="A50" s="8">
        <v>39</v>
      </c>
      <c r="B50" s="8">
        <f t="shared" si="0"/>
        <v>7.8000000000000005E-3</v>
      </c>
      <c r="C50" s="13">
        <f t="shared" si="1"/>
        <v>0.2027934318269688</v>
      </c>
    </row>
    <row r="51" spans="1:3" x14ac:dyDescent="0.15">
      <c r="A51" s="6">
        <v>40</v>
      </c>
      <c r="B51" s="6">
        <f t="shared" si="0"/>
        <v>8.0000000000000002E-3</v>
      </c>
      <c r="C51" s="10">
        <f t="shared" si="1"/>
        <v>1.902113032590306</v>
      </c>
    </row>
    <row r="52" spans="1:3" x14ac:dyDescent="0.15">
      <c r="A52" s="7">
        <v>41</v>
      </c>
      <c r="B52" s="7">
        <f t="shared" si="0"/>
        <v>8.2000000000000007E-3</v>
      </c>
      <c r="C52" s="12">
        <f t="shared" si="1"/>
        <v>1.1076204842929909</v>
      </c>
    </row>
    <row r="53" spans="1:3" x14ac:dyDescent="0.15">
      <c r="A53" s="7">
        <v>42</v>
      </c>
      <c r="B53" s="7">
        <f t="shared" si="0"/>
        <v>8.4000000000000012E-3</v>
      </c>
      <c r="C53" s="12">
        <f t="shared" si="1"/>
        <v>-0.22751348565248464</v>
      </c>
    </row>
    <row r="54" spans="1:3" x14ac:dyDescent="0.15">
      <c r="A54" s="7">
        <v>43</v>
      </c>
      <c r="B54" s="7">
        <f t="shared" si="0"/>
        <v>8.6E-3</v>
      </c>
      <c r="C54" s="12">
        <f t="shared" si="1"/>
        <v>0.61681443984952733</v>
      </c>
    </row>
    <row r="55" spans="1:3" x14ac:dyDescent="0.15">
      <c r="A55" s="7">
        <v>44</v>
      </c>
      <c r="B55" s="7">
        <f t="shared" si="0"/>
        <v>8.8000000000000005E-3</v>
      </c>
      <c r="C55" s="12">
        <f t="shared" si="1"/>
        <v>0.77949381890171332</v>
      </c>
    </row>
    <row r="56" spans="1:3" x14ac:dyDescent="0.15">
      <c r="A56" s="7">
        <v>45</v>
      </c>
      <c r="B56" s="7">
        <f t="shared" si="0"/>
        <v>9.0000000000000011E-3</v>
      </c>
      <c r="C56" s="12">
        <f t="shared" si="1"/>
        <v>-1.1755705045849516</v>
      </c>
    </row>
    <row r="57" spans="1:3" x14ac:dyDescent="0.15">
      <c r="A57" s="7">
        <v>46</v>
      </c>
      <c r="B57" s="7">
        <f t="shared" si="0"/>
        <v>9.1999999999999998E-3</v>
      </c>
      <c r="C57" s="12">
        <f t="shared" si="1"/>
        <v>-1.5893741583947125</v>
      </c>
    </row>
    <row r="58" spans="1:3" x14ac:dyDescent="0.15">
      <c r="A58" s="7">
        <v>47</v>
      </c>
      <c r="B58" s="7">
        <f t="shared" si="0"/>
        <v>9.4000000000000004E-3</v>
      </c>
      <c r="C58" s="12">
        <f t="shared" si="1"/>
        <v>-0.15369880292625748</v>
      </c>
    </row>
    <row r="59" spans="1:3" x14ac:dyDescent="0.15">
      <c r="A59" s="7">
        <v>48</v>
      </c>
      <c r="B59" s="7">
        <f t="shared" si="0"/>
        <v>9.6000000000000009E-3</v>
      </c>
      <c r="C59" s="12">
        <f t="shared" si="1"/>
        <v>-0.47620337281733865</v>
      </c>
    </row>
    <row r="60" spans="1:3" x14ac:dyDescent="0.15">
      <c r="A60" s="8">
        <v>49</v>
      </c>
      <c r="B60" s="8">
        <f t="shared" si="0"/>
        <v>9.7999999999999997E-3</v>
      </c>
      <c r="C60" s="13">
        <f t="shared" si="1"/>
        <v>-1.464040924830404</v>
      </c>
    </row>
    <row r="61" spans="1:3" x14ac:dyDescent="0.15">
      <c r="A61" s="6">
        <v>50</v>
      </c>
      <c r="B61" s="6">
        <f t="shared" si="0"/>
        <v>0.01</v>
      </c>
      <c r="C61" s="10">
        <f t="shared" si="1"/>
        <v>-4.410534437671032E-15</v>
      </c>
    </row>
    <row r="62" spans="1:3" x14ac:dyDescent="0.15">
      <c r="A62" s="7">
        <v>51</v>
      </c>
      <c r="B62" s="7">
        <f t="shared" si="0"/>
        <v>1.0200000000000001E-2</v>
      </c>
      <c r="C62" s="12">
        <f t="shared" si="1"/>
        <v>1.4640409248304067</v>
      </c>
    </row>
    <row r="63" spans="1:3" x14ac:dyDescent="0.15">
      <c r="A63" s="7">
        <v>52</v>
      </c>
      <c r="B63" s="7">
        <f t="shared" si="0"/>
        <v>1.0400000000000001E-2</v>
      </c>
      <c r="C63" s="12">
        <f t="shared" si="1"/>
        <v>0.4762033728173346</v>
      </c>
    </row>
    <row r="64" spans="1:3" x14ac:dyDescent="0.15">
      <c r="A64" s="7">
        <v>53</v>
      </c>
      <c r="B64" s="7">
        <f t="shared" si="0"/>
        <v>1.06E-2</v>
      </c>
      <c r="C64" s="12">
        <f t="shared" si="1"/>
        <v>0.15369880292625393</v>
      </c>
    </row>
    <row r="65" spans="1:3" x14ac:dyDescent="0.15">
      <c r="A65" s="7">
        <v>54</v>
      </c>
      <c r="B65" s="7">
        <f t="shared" si="0"/>
        <v>1.0800000000000001E-2</v>
      </c>
      <c r="C65" s="12">
        <f t="shared" si="1"/>
        <v>1.589374158394707</v>
      </c>
    </row>
    <row r="66" spans="1:3" x14ac:dyDescent="0.15">
      <c r="A66" s="7">
        <v>55</v>
      </c>
      <c r="B66" s="7">
        <f t="shared" si="0"/>
        <v>1.1000000000000001E-2</v>
      </c>
      <c r="C66" s="12">
        <f t="shared" si="1"/>
        <v>1.1755705045849416</v>
      </c>
    </row>
    <row r="67" spans="1:3" x14ac:dyDescent="0.15">
      <c r="A67" s="7">
        <v>56</v>
      </c>
      <c r="B67" s="7">
        <f t="shared" si="0"/>
        <v>1.12E-2</v>
      </c>
      <c r="C67" s="12">
        <f t="shared" si="1"/>
        <v>-0.7794938189017121</v>
      </c>
    </row>
    <row r="68" spans="1:3" x14ac:dyDescent="0.15">
      <c r="A68" s="7">
        <v>57</v>
      </c>
      <c r="B68" s="7">
        <f t="shared" si="0"/>
        <v>1.14E-2</v>
      </c>
      <c r="C68" s="12">
        <f t="shared" si="1"/>
        <v>-0.61681443984953543</v>
      </c>
    </row>
    <row r="69" spans="1:3" x14ac:dyDescent="0.15">
      <c r="A69" s="7">
        <v>58</v>
      </c>
      <c r="B69" s="7">
        <f t="shared" si="0"/>
        <v>1.1600000000000001E-2</v>
      </c>
      <c r="C69" s="12">
        <f t="shared" si="1"/>
        <v>0.22751348565248175</v>
      </c>
    </row>
    <row r="70" spans="1:3" x14ac:dyDescent="0.15">
      <c r="A70" s="8">
        <v>59</v>
      </c>
      <c r="B70" s="8">
        <f t="shared" si="0"/>
        <v>1.18E-2</v>
      </c>
      <c r="C70" s="13">
        <f t="shared" si="1"/>
        <v>-1.1076204842929842</v>
      </c>
    </row>
  </sheetData>
  <phoneticPr fontId="3"/>
  <dataValidations count="2">
    <dataValidation type="whole" allowBlank="1" showErrorMessage="1" promptTitle="途中経過" prompt="0: 出力しない_x000a_1: 出力する" sqref="B6" xr:uid="{00000000-0002-0000-0000-000000000000}">
      <formula1>1</formula1>
      <formula2>60</formula2>
    </dataValidation>
    <dataValidation allowBlank="1" showErrorMessage="1" promptTitle="途中経過" prompt="0: 出力しない_x000a_1: 出力する" sqref="B7" xr:uid="{00000000-0002-0000-0000-000001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_PSD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523875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lc_PSD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Fast Fourier transform</dc:title>
  <dc:creator/>
  <dc:description>(C) 2014-2018 K Technologies</dc:description>
  <cp:lastModifiedBy>User</cp:lastModifiedBy>
  <dcterms:created xsi:type="dcterms:W3CDTF">2012-08-03T09:08:30Z</dcterms:created>
  <dcterms:modified xsi:type="dcterms:W3CDTF">2018-12-20T01:10:34Z</dcterms:modified>
</cp:coreProperties>
</file>